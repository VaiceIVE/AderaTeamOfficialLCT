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0.140.10\common\ДКРиС\ДКРиС\СДО\СДО КП\Иванов В.А\Крышки парапета\"/>
    </mc:Choice>
  </mc:AlternateContent>
  <bookViews>
    <workbookView xWindow="0" yWindow="0" windowWidth="20460" windowHeight="7740"/>
  </bookViews>
  <sheets>
    <sheet name="Смета по ТСН-2001" sheetId="5" r:id="rId1"/>
    <sheet name="Source" sheetId="1" r:id="rId2"/>
    <sheet name="SourceObSm" sheetId="2" r:id="rId3"/>
    <sheet name="SmtRes" sheetId="3" r:id="rId4"/>
    <sheet name="EtalonRes" sheetId="4" r:id="rId5"/>
  </sheets>
  <definedNames>
    <definedName name="_xlnm.Print_Titles" localSheetId="0">'Смета по ТСН-2001'!$26:$26</definedName>
    <definedName name="_xlnm.Print_Area" localSheetId="0">'Смета по ТСН-2001'!$A$1:$K$70</definedName>
  </definedNames>
  <calcPr calcId="152511"/>
</workbook>
</file>

<file path=xl/calcChain.xml><?xml version="1.0" encoding="utf-8"?>
<calcChain xmlns="http://schemas.openxmlformats.org/spreadsheetml/2006/main">
  <c r="K59" i="5" l="1"/>
  <c r="K60" i="5" s="1"/>
  <c r="K58" i="5"/>
  <c r="H68" i="5"/>
  <c r="H65" i="5"/>
  <c r="C68" i="5"/>
  <c r="C65" i="5"/>
  <c r="J23" i="5"/>
  <c r="J21" i="5"/>
  <c r="J20" i="5"/>
  <c r="J19" i="5"/>
  <c r="J18" i="5"/>
  <c r="J17" i="5"/>
  <c r="J16" i="5"/>
  <c r="I23" i="5"/>
  <c r="A57" i="5"/>
  <c r="I55" i="5"/>
  <c r="J55" i="5"/>
  <c r="I54" i="5"/>
  <c r="J54" i="5"/>
  <c r="A53" i="5"/>
  <c r="AA51" i="5"/>
  <c r="Z51" i="5"/>
  <c r="Y51" i="5"/>
  <c r="I50" i="5"/>
  <c r="H50" i="5"/>
  <c r="G50" i="5"/>
  <c r="E50" i="5"/>
  <c r="J49" i="5"/>
  <c r="E49" i="5"/>
  <c r="J48" i="5"/>
  <c r="E48" i="5"/>
  <c r="K47" i="5"/>
  <c r="J47" i="5"/>
  <c r="H47" i="5"/>
  <c r="AA47" i="5"/>
  <c r="Z47" i="5"/>
  <c r="Y47" i="5"/>
  <c r="I47" i="5"/>
  <c r="X47" i="5" s="1"/>
  <c r="F47" i="5"/>
  <c r="V47" i="5"/>
  <c r="T47" i="5"/>
  <c r="R47" i="5"/>
  <c r="U47" i="5"/>
  <c r="S47" i="5"/>
  <c r="Q47" i="5"/>
  <c r="E47" i="5"/>
  <c r="D47" i="5"/>
  <c r="B47" i="5"/>
  <c r="A47" i="5"/>
  <c r="K46" i="5"/>
  <c r="J46" i="5"/>
  <c r="H46" i="5"/>
  <c r="AA46" i="5"/>
  <c r="Z46" i="5"/>
  <c r="Y46" i="5"/>
  <c r="X46" i="5"/>
  <c r="I46" i="5"/>
  <c r="F46" i="5"/>
  <c r="V46" i="5"/>
  <c r="T46" i="5"/>
  <c r="R46" i="5"/>
  <c r="U46" i="5"/>
  <c r="S46" i="5"/>
  <c r="Q46" i="5"/>
  <c r="E46" i="5"/>
  <c r="D46" i="5"/>
  <c r="B46" i="5"/>
  <c r="A46" i="5"/>
  <c r="K45" i="5"/>
  <c r="J45" i="5"/>
  <c r="H45" i="5"/>
  <c r="AA45" i="5"/>
  <c r="Z45" i="5"/>
  <c r="Y45" i="5"/>
  <c r="I45" i="5"/>
  <c r="X45" i="5" s="1"/>
  <c r="F45" i="5"/>
  <c r="V45" i="5"/>
  <c r="T45" i="5"/>
  <c r="R45" i="5"/>
  <c r="U45" i="5"/>
  <c r="S45" i="5"/>
  <c r="Q45" i="5"/>
  <c r="E45" i="5"/>
  <c r="D45" i="5"/>
  <c r="B45" i="5"/>
  <c r="A45" i="5"/>
  <c r="K44" i="5"/>
  <c r="J44" i="5"/>
  <c r="I44" i="5"/>
  <c r="H44" i="5"/>
  <c r="G44" i="5"/>
  <c r="F44" i="5"/>
  <c r="K43" i="5"/>
  <c r="J43" i="5"/>
  <c r="I43" i="5"/>
  <c r="H43" i="5"/>
  <c r="G43" i="5"/>
  <c r="F43" i="5"/>
  <c r="K42" i="5"/>
  <c r="J42" i="5"/>
  <c r="W42" i="5"/>
  <c r="I42" i="5"/>
  <c r="O51" i="5" s="1"/>
  <c r="H42" i="5"/>
  <c r="G42" i="5"/>
  <c r="F42" i="5"/>
  <c r="C41" i="5"/>
  <c r="V40" i="5"/>
  <c r="T40" i="5"/>
  <c r="K49" i="5" s="1"/>
  <c r="R40" i="5"/>
  <c r="K48" i="5" s="1"/>
  <c r="U40" i="5"/>
  <c r="S40" i="5"/>
  <c r="I49" i="5" s="1"/>
  <c r="Q40" i="5"/>
  <c r="I48" i="5" s="1"/>
  <c r="X51" i="5" s="1"/>
  <c r="E40" i="5"/>
  <c r="D40" i="5"/>
  <c r="B40" i="5"/>
  <c r="A40" i="5"/>
  <c r="AA39" i="5"/>
  <c r="Z39" i="5"/>
  <c r="Y39" i="5"/>
  <c r="I38" i="5"/>
  <c r="H38" i="5"/>
  <c r="G38" i="5"/>
  <c r="E38" i="5"/>
  <c r="J37" i="5"/>
  <c r="E37" i="5"/>
  <c r="J36" i="5"/>
  <c r="E36" i="5"/>
  <c r="K35" i="5"/>
  <c r="J35" i="5"/>
  <c r="H35" i="5"/>
  <c r="AA35" i="5"/>
  <c r="Z35" i="5"/>
  <c r="Y35" i="5"/>
  <c r="X35" i="5"/>
  <c r="I35" i="5"/>
  <c r="F35" i="5"/>
  <c r="V35" i="5"/>
  <c r="T35" i="5"/>
  <c r="K37" i="5" s="1"/>
  <c r="R35" i="5"/>
  <c r="U35" i="5"/>
  <c r="S35" i="5"/>
  <c r="Q35" i="5"/>
  <c r="I36" i="5" s="1"/>
  <c r="O39" i="5" s="1"/>
  <c r="E35" i="5"/>
  <c r="D35" i="5"/>
  <c r="B35" i="5"/>
  <c r="A35" i="5"/>
  <c r="K34" i="5"/>
  <c r="J34" i="5"/>
  <c r="H34" i="5"/>
  <c r="AA34" i="5"/>
  <c r="I20" i="5" s="1"/>
  <c r="Z34" i="5"/>
  <c r="I19" i="5" s="1"/>
  <c r="Y34" i="5"/>
  <c r="I18" i="5" s="1"/>
  <c r="I34" i="5"/>
  <c r="X34" i="5" s="1"/>
  <c r="F34" i="5"/>
  <c r="V34" i="5"/>
  <c r="T34" i="5"/>
  <c r="R34" i="5"/>
  <c r="U34" i="5"/>
  <c r="S34" i="5"/>
  <c r="Q34" i="5"/>
  <c r="E34" i="5"/>
  <c r="D34" i="5"/>
  <c r="B34" i="5"/>
  <c r="A34" i="5"/>
  <c r="K33" i="5"/>
  <c r="J33" i="5"/>
  <c r="I33" i="5"/>
  <c r="H33" i="5"/>
  <c r="G33" i="5"/>
  <c r="F33" i="5"/>
  <c r="K32" i="5"/>
  <c r="J32" i="5"/>
  <c r="I32" i="5"/>
  <c r="H32" i="5"/>
  <c r="G32" i="5"/>
  <c r="F32" i="5"/>
  <c r="K31" i="5"/>
  <c r="J31" i="5"/>
  <c r="W31" i="5"/>
  <c r="I21" i="5" s="1"/>
  <c r="I31" i="5"/>
  <c r="X39" i="5" s="1"/>
  <c r="H31" i="5"/>
  <c r="G31" i="5"/>
  <c r="F31" i="5"/>
  <c r="C30" i="5"/>
  <c r="V29" i="5"/>
  <c r="T29" i="5"/>
  <c r="R29" i="5"/>
  <c r="K36" i="5" s="1"/>
  <c r="U29" i="5"/>
  <c r="S29" i="5"/>
  <c r="I37" i="5" s="1"/>
  <c r="Q29" i="5"/>
  <c r="E29" i="5"/>
  <c r="D29" i="5"/>
  <c r="B29" i="5"/>
  <c r="A29" i="5"/>
  <c r="A14" i="5"/>
  <c r="A11" i="5"/>
  <c r="A6" i="5"/>
  <c r="A1" i="5"/>
  <c r="I17" i="5" l="1"/>
  <c r="J51" i="5"/>
  <c r="H57" i="5"/>
  <c r="H53" i="5"/>
  <c r="I16" i="5"/>
  <c r="P39" i="5"/>
  <c r="P51" i="5"/>
  <c r="J39" i="5"/>
  <c r="H51" i="5"/>
  <c r="H39" i="5"/>
  <c r="A1" i="4"/>
  <c r="A2" i="4"/>
  <c r="A3" i="4"/>
  <c r="A4" i="4"/>
  <c r="A5" i="4"/>
  <c r="A6" i="4"/>
  <c r="A7" i="4"/>
  <c r="A8" i="4"/>
  <c r="A9" i="4"/>
  <c r="A10" i="4"/>
  <c r="A1" i="3"/>
  <c r="CY1" i="3"/>
  <c r="CZ1" i="3"/>
  <c r="DA1" i="3"/>
  <c r="DB1" i="3"/>
  <c r="DC1" i="3"/>
  <c r="A2" i="3"/>
  <c r="CY2" i="3"/>
  <c r="CZ2" i="3"/>
  <c r="DA2" i="3"/>
  <c r="DB2" i="3"/>
  <c r="DC2" i="3"/>
  <c r="A3" i="3"/>
  <c r="CY3" i="3"/>
  <c r="CZ3" i="3"/>
  <c r="DB3" i="3" s="1"/>
  <c r="DA3" i="3"/>
  <c r="DC3" i="3"/>
  <c r="A4" i="3"/>
  <c r="CY4" i="3"/>
  <c r="CZ4" i="3"/>
  <c r="DB4" i="3" s="1"/>
  <c r="DA4" i="3"/>
  <c r="DC4" i="3"/>
  <c r="A5" i="3"/>
  <c r="CY5" i="3"/>
  <c r="CZ5" i="3"/>
  <c r="DA5" i="3"/>
  <c r="DB5" i="3"/>
  <c r="DC5" i="3"/>
  <c r="A6" i="3"/>
  <c r="CY6" i="3"/>
  <c r="CZ6" i="3"/>
  <c r="DB6" i="3" s="1"/>
  <c r="DA6" i="3"/>
  <c r="DC6" i="3"/>
  <c r="A7" i="3"/>
  <c r="CY7" i="3"/>
  <c r="CZ7" i="3"/>
  <c r="DA7" i="3"/>
  <c r="DB7" i="3"/>
  <c r="DC7" i="3"/>
  <c r="A8" i="3"/>
  <c r="CY8" i="3"/>
  <c r="CZ8" i="3"/>
  <c r="DA8" i="3"/>
  <c r="DB8" i="3"/>
  <c r="DC8" i="3"/>
  <c r="A9" i="3"/>
  <c r="CY9" i="3"/>
  <c r="CZ9" i="3"/>
  <c r="DB9" i="3" s="1"/>
  <c r="DA9" i="3"/>
  <c r="DC9" i="3"/>
  <c r="A10" i="3"/>
  <c r="CY10" i="3"/>
  <c r="CZ10" i="3"/>
  <c r="DB10" i="3" s="1"/>
  <c r="DA10" i="3"/>
  <c r="DC10" i="3"/>
  <c r="A11" i="3"/>
  <c r="CX11" i="3"/>
  <c r="CY11" i="3"/>
  <c r="CZ11" i="3"/>
  <c r="DA11" i="3"/>
  <c r="DB11" i="3"/>
  <c r="DC11" i="3"/>
  <c r="A12" i="3"/>
  <c r="CY12" i="3"/>
  <c r="CZ12" i="3"/>
  <c r="DB12" i="3" s="1"/>
  <c r="DA12" i="3"/>
  <c r="DC12" i="3"/>
  <c r="A13" i="3"/>
  <c r="CY13" i="3"/>
  <c r="CZ13" i="3"/>
  <c r="DA13" i="3"/>
  <c r="DB13" i="3"/>
  <c r="DC13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D22" i="1"/>
  <c r="E22" i="1"/>
  <c r="Z22" i="1"/>
  <c r="AA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Y22" i="1"/>
  <c r="CK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C24" i="1"/>
  <c r="D24" i="1"/>
  <c r="I24" i="1"/>
  <c r="CX2" i="3" s="1"/>
  <c r="T24" i="1"/>
  <c r="AB24" i="1"/>
  <c r="AC24" i="1"/>
  <c r="P24" i="1" s="1"/>
  <c r="AD24" i="1"/>
  <c r="AE24" i="1"/>
  <c r="AF24" i="1"/>
  <c r="S24" i="1" s="1"/>
  <c r="AG24" i="1"/>
  <c r="AH24" i="1"/>
  <c r="CV24" i="1" s="1"/>
  <c r="U24" i="1" s="1"/>
  <c r="AI24" i="1"/>
  <c r="AJ24" i="1"/>
  <c r="CQ24" i="1"/>
  <c r="CR24" i="1"/>
  <c r="CS24" i="1"/>
  <c r="CU24" i="1"/>
  <c r="CW24" i="1"/>
  <c r="V24" i="1" s="1"/>
  <c r="AI32" i="1" s="1"/>
  <c r="CX24" i="1"/>
  <c r="W24" i="1" s="1"/>
  <c r="FR24" i="1"/>
  <c r="GL24" i="1"/>
  <c r="GO24" i="1"/>
  <c r="GP24" i="1"/>
  <c r="GV24" i="1"/>
  <c r="HC24" i="1"/>
  <c r="I25" i="1"/>
  <c r="Q25" i="1" s="1"/>
  <c r="T25" i="1"/>
  <c r="AB25" i="1"/>
  <c r="AC25" i="1"/>
  <c r="AD25" i="1"/>
  <c r="AE25" i="1"/>
  <c r="AF25" i="1"/>
  <c r="S25" i="1" s="1"/>
  <c r="AG25" i="1"/>
  <c r="AH25" i="1"/>
  <c r="CV25" i="1" s="1"/>
  <c r="U25" i="1" s="1"/>
  <c r="AI25" i="1"/>
  <c r="AJ25" i="1"/>
  <c r="CX25" i="1" s="1"/>
  <c r="W25" i="1" s="1"/>
  <c r="CQ25" i="1"/>
  <c r="CR25" i="1"/>
  <c r="CS25" i="1"/>
  <c r="CU25" i="1"/>
  <c r="CW25" i="1"/>
  <c r="V25" i="1" s="1"/>
  <c r="FR25" i="1"/>
  <c r="GL25" i="1"/>
  <c r="GO25" i="1"/>
  <c r="GP25" i="1"/>
  <c r="GV25" i="1"/>
  <c r="HC25" i="1"/>
  <c r="I26" i="1"/>
  <c r="Q26" i="1" s="1"/>
  <c r="AB26" i="1"/>
  <c r="AC26" i="1"/>
  <c r="AD26" i="1"/>
  <c r="AE26" i="1"/>
  <c r="AF26" i="1"/>
  <c r="S26" i="1" s="1"/>
  <c r="AG26" i="1"/>
  <c r="AH26" i="1"/>
  <c r="CV26" i="1" s="1"/>
  <c r="U26" i="1" s="1"/>
  <c r="AI26" i="1"/>
  <c r="AJ26" i="1"/>
  <c r="CX26" i="1" s="1"/>
  <c r="W26" i="1" s="1"/>
  <c r="CQ26" i="1"/>
  <c r="CR26" i="1"/>
  <c r="CS26" i="1"/>
  <c r="CU26" i="1"/>
  <c r="CW26" i="1"/>
  <c r="V26" i="1" s="1"/>
  <c r="FR26" i="1"/>
  <c r="GL26" i="1"/>
  <c r="GO26" i="1"/>
  <c r="GP26" i="1"/>
  <c r="GV26" i="1"/>
  <c r="HC26" i="1"/>
  <c r="C27" i="1"/>
  <c r="D27" i="1"/>
  <c r="I27" i="1"/>
  <c r="CX8" i="3" s="1"/>
  <c r="R27" i="1"/>
  <c r="GK27" i="1" s="1"/>
  <c r="T27" i="1"/>
  <c r="AC27" i="1"/>
  <c r="AD27" i="1"/>
  <c r="AE27" i="1"/>
  <c r="AF27" i="1"/>
  <c r="CT27" i="1" s="1"/>
  <c r="AG27" i="1"/>
  <c r="AH27" i="1"/>
  <c r="CV27" i="1" s="1"/>
  <c r="U27" i="1" s="1"/>
  <c r="AI27" i="1"/>
  <c r="AJ27" i="1"/>
  <c r="CX27" i="1" s="1"/>
  <c r="W27" i="1" s="1"/>
  <c r="CQ27" i="1"/>
  <c r="CR27" i="1"/>
  <c r="CS27" i="1"/>
  <c r="CU27" i="1"/>
  <c r="CW27" i="1"/>
  <c r="V27" i="1" s="1"/>
  <c r="FR27" i="1"/>
  <c r="GL27" i="1"/>
  <c r="BZ32" i="1" s="1"/>
  <c r="GO27" i="1"/>
  <c r="GP27" i="1"/>
  <c r="GV27" i="1"/>
  <c r="GX27" i="1"/>
  <c r="HC27" i="1"/>
  <c r="I28" i="1"/>
  <c r="P28" i="1" s="1"/>
  <c r="R28" i="1"/>
  <c r="GK28" i="1" s="1"/>
  <c r="T28" i="1"/>
  <c r="AC28" i="1"/>
  <c r="AD28" i="1"/>
  <c r="AE28" i="1"/>
  <c r="AF28" i="1"/>
  <c r="CT28" i="1" s="1"/>
  <c r="AG28" i="1"/>
  <c r="AH28" i="1"/>
  <c r="CV28" i="1" s="1"/>
  <c r="U28" i="1" s="1"/>
  <c r="AI28" i="1"/>
  <c r="AJ28" i="1"/>
  <c r="CX28" i="1" s="1"/>
  <c r="W28" i="1" s="1"/>
  <c r="CQ28" i="1"/>
  <c r="CR28" i="1"/>
  <c r="CS28" i="1"/>
  <c r="CU28" i="1"/>
  <c r="CW28" i="1"/>
  <c r="V28" i="1" s="1"/>
  <c r="FR28" i="1"/>
  <c r="GL28" i="1"/>
  <c r="GO28" i="1"/>
  <c r="GP28" i="1"/>
  <c r="GV28" i="1"/>
  <c r="GX28" i="1"/>
  <c r="HC28" i="1"/>
  <c r="I29" i="1"/>
  <c r="P29" i="1" s="1"/>
  <c r="R29" i="1"/>
  <c r="GK29" i="1" s="1"/>
  <c r="T29" i="1"/>
  <c r="AC29" i="1"/>
  <c r="AD29" i="1"/>
  <c r="AE29" i="1"/>
  <c r="AF29" i="1"/>
  <c r="CT29" i="1" s="1"/>
  <c r="AG29" i="1"/>
  <c r="AH29" i="1"/>
  <c r="CV29" i="1" s="1"/>
  <c r="U29" i="1" s="1"/>
  <c r="AI29" i="1"/>
  <c r="AJ29" i="1"/>
  <c r="CX29" i="1" s="1"/>
  <c r="W29" i="1" s="1"/>
  <c r="CQ29" i="1"/>
  <c r="CR29" i="1"/>
  <c r="CS29" i="1"/>
  <c r="CU29" i="1"/>
  <c r="CW29" i="1"/>
  <c r="V29" i="1" s="1"/>
  <c r="FR29" i="1"/>
  <c r="GL29" i="1"/>
  <c r="GO29" i="1"/>
  <c r="GP29" i="1"/>
  <c r="GV29" i="1"/>
  <c r="GX29" i="1"/>
  <c r="HC29" i="1"/>
  <c r="I30" i="1"/>
  <c r="P30" i="1" s="1"/>
  <c r="R30" i="1"/>
  <c r="GK30" i="1" s="1"/>
  <c r="T30" i="1"/>
  <c r="AC30" i="1"/>
  <c r="AD30" i="1"/>
  <c r="AE30" i="1"/>
  <c r="AF30" i="1"/>
  <c r="CT30" i="1" s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CW30" i="1"/>
  <c r="V30" i="1" s="1"/>
  <c r="FR30" i="1"/>
  <c r="GL30" i="1"/>
  <c r="GO30" i="1"/>
  <c r="GP30" i="1"/>
  <c r="GV30" i="1"/>
  <c r="GX30" i="1"/>
  <c r="HC30" i="1"/>
  <c r="B32" i="1"/>
  <c r="B22" i="1" s="1"/>
  <c r="C32" i="1"/>
  <c r="C22" i="1" s="1"/>
  <c r="D32" i="1"/>
  <c r="F32" i="1"/>
  <c r="F22" i="1" s="1"/>
  <c r="G32" i="1"/>
  <c r="G22" i="1" s="1"/>
  <c r="AP32" i="1"/>
  <c r="AP62" i="1" s="1"/>
  <c r="BB32" i="1"/>
  <c r="BB62" i="1" s="1"/>
  <c r="BX32" i="1"/>
  <c r="BX22" i="1" s="1"/>
  <c r="BY32" i="1"/>
  <c r="CC32" i="1"/>
  <c r="CC22" i="1" s="1"/>
  <c r="CD32" i="1"/>
  <c r="CD22" i="1" s="1"/>
  <c r="CK32" i="1"/>
  <c r="CL32" i="1"/>
  <c r="CL22" i="1" s="1"/>
  <c r="CM32" i="1"/>
  <c r="CM22" i="1" s="1"/>
  <c r="F45" i="1"/>
  <c r="B62" i="1"/>
  <c r="B18" i="1" s="1"/>
  <c r="C62" i="1"/>
  <c r="C18" i="1" s="1"/>
  <c r="D62" i="1"/>
  <c r="D18" i="1" s="1"/>
  <c r="F62" i="1"/>
  <c r="F18" i="1" s="1"/>
  <c r="G62" i="1"/>
  <c r="G18" i="1" s="1"/>
  <c r="J57" i="5" l="1"/>
  <c r="J53" i="5"/>
  <c r="AP18" i="1"/>
  <c r="F71" i="1"/>
  <c r="CY26" i="1"/>
  <c r="X26" i="1" s="1"/>
  <c r="CZ26" i="1"/>
  <c r="Y26" i="1" s="1"/>
  <c r="CP28" i="1"/>
  <c r="O28" i="1" s="1"/>
  <c r="CG32" i="1"/>
  <c r="BZ22" i="1"/>
  <c r="AQ32" i="1"/>
  <c r="CI32" i="1"/>
  <c r="CZ24" i="1"/>
  <c r="Y24" i="1" s="1"/>
  <c r="CY24" i="1"/>
  <c r="X24" i="1" s="1"/>
  <c r="AH32" i="1"/>
  <c r="CZ25" i="1"/>
  <c r="Y25" i="1" s="1"/>
  <c r="CY25" i="1"/>
  <c r="X25" i="1" s="1"/>
  <c r="F75" i="1"/>
  <c r="BB18" i="1"/>
  <c r="AJ32" i="1"/>
  <c r="AI22" i="1"/>
  <c r="V32" i="1"/>
  <c r="F41" i="1"/>
  <c r="G16" i="2" s="1"/>
  <c r="G18" i="2" s="1"/>
  <c r="BD32" i="1"/>
  <c r="AB30" i="1"/>
  <c r="AB29" i="1"/>
  <c r="AB28" i="1"/>
  <c r="AB27" i="1"/>
  <c r="P26" i="1"/>
  <c r="CP26" i="1" s="1"/>
  <c r="O26" i="1" s="1"/>
  <c r="P25" i="1"/>
  <c r="CP25" i="1" s="1"/>
  <c r="O25" i="1" s="1"/>
  <c r="CX13" i="3"/>
  <c r="CX7" i="3"/>
  <c r="CX1" i="3"/>
  <c r="BC32" i="1"/>
  <c r="S30" i="1"/>
  <c r="S29" i="1"/>
  <c r="S28" i="1"/>
  <c r="S27" i="1"/>
  <c r="AF32" i="1" s="1"/>
  <c r="CT26" i="1"/>
  <c r="CT25" i="1"/>
  <c r="CT24" i="1"/>
  <c r="BB22" i="1"/>
  <c r="AP22" i="1"/>
  <c r="CX12" i="3"/>
  <c r="CX6" i="3"/>
  <c r="T26" i="1"/>
  <c r="AG32" i="1" s="1"/>
  <c r="AU32" i="1"/>
  <c r="AO32" i="1"/>
  <c r="Q30" i="1"/>
  <c r="CP30" i="1" s="1"/>
  <c r="O30" i="1" s="1"/>
  <c r="Q29" i="1"/>
  <c r="CP29" i="1" s="1"/>
  <c r="O29" i="1" s="1"/>
  <c r="Q28" i="1"/>
  <c r="Q27" i="1"/>
  <c r="CX10" i="3"/>
  <c r="CX4" i="3"/>
  <c r="CX5" i="3"/>
  <c r="AT32" i="1"/>
  <c r="P27" i="1"/>
  <c r="GX26" i="1"/>
  <c r="R26" i="1"/>
  <c r="GK26" i="1" s="1"/>
  <c r="GX25" i="1"/>
  <c r="R25" i="1"/>
  <c r="GK25" i="1" s="1"/>
  <c r="GX24" i="1"/>
  <c r="R24" i="1"/>
  <c r="CX9" i="3"/>
  <c r="CX3" i="3"/>
  <c r="Q24" i="1"/>
  <c r="CP24" i="1" s="1"/>
  <c r="O24" i="1" s="1"/>
  <c r="AG22" i="1" l="1"/>
  <c r="T32" i="1"/>
  <c r="AF22" i="1"/>
  <c r="S32" i="1"/>
  <c r="GM30" i="1"/>
  <c r="GM24" i="1"/>
  <c r="F51" i="1"/>
  <c r="AU62" i="1"/>
  <c r="AU22" i="1"/>
  <c r="CZ30" i="1"/>
  <c r="Y30" i="1" s="1"/>
  <c r="CY30" i="1"/>
  <c r="X30" i="1" s="1"/>
  <c r="GN30" i="1" s="1"/>
  <c r="F48" i="1"/>
  <c r="BC62" i="1"/>
  <c r="BC22" i="1"/>
  <c r="AC32" i="1"/>
  <c r="GK24" i="1"/>
  <c r="GN24" i="1" s="1"/>
  <c r="AE32" i="1"/>
  <c r="CP27" i="1"/>
  <c r="O27" i="1" s="1"/>
  <c r="CG22" i="1"/>
  <c r="AX32" i="1"/>
  <c r="CJ32" i="1"/>
  <c r="AT22" i="1"/>
  <c r="F50" i="1"/>
  <c r="F16" i="2" s="1"/>
  <c r="F18" i="2" s="1"/>
  <c r="AT62" i="1"/>
  <c r="CZ27" i="1"/>
  <c r="Y27" i="1" s="1"/>
  <c r="AL32" i="1" s="1"/>
  <c r="CY27" i="1"/>
  <c r="X27" i="1" s="1"/>
  <c r="AK32" i="1" s="1"/>
  <c r="F55" i="1"/>
  <c r="V62" i="1"/>
  <c r="V22" i="1"/>
  <c r="GM28" i="1"/>
  <c r="GN28" i="1"/>
  <c r="CZ28" i="1"/>
  <c r="Y28" i="1" s="1"/>
  <c r="CY28" i="1"/>
  <c r="X28" i="1" s="1"/>
  <c r="GN26" i="1"/>
  <c r="GM26" i="1"/>
  <c r="F42" i="1"/>
  <c r="AQ62" i="1"/>
  <c r="AQ22" i="1"/>
  <c r="AD32" i="1"/>
  <c r="F36" i="1"/>
  <c r="AO22" i="1"/>
  <c r="AO62" i="1"/>
  <c r="CZ29" i="1"/>
  <c r="Y29" i="1" s="1"/>
  <c r="CY29" i="1"/>
  <c r="X29" i="1" s="1"/>
  <c r="GM29" i="1" s="1"/>
  <c r="GN25" i="1"/>
  <c r="GM25" i="1"/>
  <c r="BD22" i="1"/>
  <c r="BD62" i="1"/>
  <c r="F57" i="1"/>
  <c r="W32" i="1"/>
  <c r="AJ22" i="1"/>
  <c r="AH22" i="1"/>
  <c r="U32" i="1"/>
  <c r="CI22" i="1"/>
  <c r="AZ32" i="1"/>
  <c r="X32" i="1" l="1"/>
  <c r="AK22" i="1"/>
  <c r="AL22" i="1"/>
  <c r="Y32" i="1"/>
  <c r="F43" i="1"/>
  <c r="AZ22" i="1"/>
  <c r="AZ62" i="1"/>
  <c r="T22" i="1"/>
  <c r="F53" i="1"/>
  <c r="T62" i="1"/>
  <c r="F87" i="1"/>
  <c r="BD18" i="1"/>
  <c r="AO18" i="1"/>
  <c r="F66" i="1"/>
  <c r="AT18" i="1"/>
  <c r="F80" i="1"/>
  <c r="GM27" i="1"/>
  <c r="GN27" i="1"/>
  <c r="CB32" i="1" s="1"/>
  <c r="BC18" i="1"/>
  <c r="F78" i="1"/>
  <c r="AU18" i="1"/>
  <c r="F81" i="1"/>
  <c r="F54" i="1"/>
  <c r="U62" i="1"/>
  <c r="U22" i="1"/>
  <c r="R32" i="1"/>
  <c r="AE22" i="1"/>
  <c r="AQ18" i="1"/>
  <c r="F72" i="1"/>
  <c r="CA32" i="1"/>
  <c r="F85" i="1"/>
  <c r="V18" i="1"/>
  <c r="GN29" i="1"/>
  <c r="Q32" i="1"/>
  <c r="AD22" i="1"/>
  <c r="CJ22" i="1"/>
  <c r="BA32" i="1"/>
  <c r="S62" i="1"/>
  <c r="S22" i="1"/>
  <c r="F47" i="1"/>
  <c r="J16" i="2" s="1"/>
  <c r="J18" i="2" s="1"/>
  <c r="F56" i="1"/>
  <c r="W62" i="1"/>
  <c r="W22" i="1"/>
  <c r="AX22" i="1"/>
  <c r="F39" i="1"/>
  <c r="AX62" i="1"/>
  <c r="AC22" i="1"/>
  <c r="CE32" i="1"/>
  <c r="CF32" i="1"/>
  <c r="CH32" i="1"/>
  <c r="P32" i="1"/>
  <c r="AB32" i="1"/>
  <c r="CB22" i="1" l="1"/>
  <c r="AS32" i="1"/>
  <c r="CF22" i="1"/>
  <c r="AW32" i="1"/>
  <c r="BA22" i="1"/>
  <c r="F52" i="1"/>
  <c r="H16" i="2" s="1"/>
  <c r="H18" i="2" s="1"/>
  <c r="BA62" i="1"/>
  <c r="F86" i="1"/>
  <c r="W18" i="1"/>
  <c r="F73" i="1"/>
  <c r="AZ18" i="1"/>
  <c r="AB22" i="1"/>
  <c r="O32" i="1"/>
  <c r="F69" i="1"/>
  <c r="AX18" i="1"/>
  <c r="Q22" i="1"/>
  <c r="F44" i="1"/>
  <c r="Q62" i="1"/>
  <c r="CA22" i="1"/>
  <c r="AR32" i="1"/>
  <c r="U18" i="1"/>
  <c r="F84" i="1"/>
  <c r="F83" i="1"/>
  <c r="T18" i="1"/>
  <c r="R62" i="1"/>
  <c r="R22" i="1"/>
  <c r="F46" i="1"/>
  <c r="AV32" i="1"/>
  <c r="CE22" i="1"/>
  <c r="X22" i="1"/>
  <c r="F58" i="1"/>
  <c r="X62" i="1"/>
  <c r="P62" i="1"/>
  <c r="P22" i="1"/>
  <c r="F35" i="1"/>
  <c r="CH22" i="1"/>
  <c r="AY32" i="1"/>
  <c r="S18" i="1"/>
  <c r="F77" i="1"/>
  <c r="Y62" i="1"/>
  <c r="Y22" i="1"/>
  <c r="F59" i="1"/>
  <c r="X18" i="1" l="1"/>
  <c r="F88" i="1"/>
  <c r="AS22" i="1"/>
  <c r="F49" i="1"/>
  <c r="E16" i="2" s="1"/>
  <c r="AS62" i="1"/>
  <c r="O62" i="1"/>
  <c r="O22" i="1"/>
  <c r="F34" i="1"/>
  <c r="F74" i="1"/>
  <c r="Q18" i="1"/>
  <c r="AR22" i="1"/>
  <c r="F60" i="1"/>
  <c r="AR62" i="1"/>
  <c r="AY22" i="1"/>
  <c r="F40" i="1"/>
  <c r="AY62" i="1"/>
  <c r="R18" i="1"/>
  <c r="F76" i="1"/>
  <c r="F82" i="1"/>
  <c r="BA18" i="1"/>
  <c r="Y18" i="1"/>
  <c r="F89" i="1"/>
  <c r="AW62" i="1"/>
  <c r="F38" i="1"/>
  <c r="AW22" i="1"/>
  <c r="AV62" i="1"/>
  <c r="F37" i="1"/>
  <c r="AV22" i="1"/>
  <c r="P18" i="1"/>
  <c r="F65" i="1"/>
  <c r="O18" i="1" l="1"/>
  <c r="F64" i="1"/>
  <c r="AR18" i="1"/>
  <c r="F90" i="1"/>
  <c r="AS18" i="1"/>
  <c r="F79" i="1"/>
  <c r="AY18" i="1"/>
  <c r="F70" i="1"/>
  <c r="E18" i="2"/>
  <c r="I16" i="2"/>
  <c r="I18" i="2" s="1"/>
  <c r="F67" i="1"/>
  <c r="AV18" i="1"/>
  <c r="F68" i="1"/>
  <c r="AW18" i="1"/>
</calcChain>
</file>

<file path=xl/sharedStrings.xml><?xml version="1.0" encoding="utf-8"?>
<sst xmlns="http://schemas.openxmlformats.org/spreadsheetml/2006/main" count="856" uniqueCount="164">
  <si>
    <t>Smeta.RU  (495) 974-1589</t>
  </si>
  <si>
    <t>_PS_</t>
  </si>
  <si>
    <t>Smeta.RU</t>
  </si>
  <si>
    <t/>
  </si>
  <si>
    <t>Новый объект</t>
  </si>
  <si>
    <t>Крышки парапета</t>
  </si>
  <si>
    <t>Сметные нормы списания</t>
  </si>
  <si>
    <t>Коды ОКП для ТСН-2001 МГЭ</t>
  </si>
  <si>
    <t>ТСН-2001 (МГЭ) - Новое строительство</t>
  </si>
  <si>
    <t>Типовой расчет для ТСН-2001 МГЭ, Новая методика с выпуска доп. 43 (Строительство), Доп 58</t>
  </si>
  <si>
    <t>Территориальные сметные нормативы для Москвы ТСН-2001 (МГЭ)</t>
  </si>
  <si>
    <t>Поправки для ТСН-2001 от 21.10.2020 г. доп.58</t>
  </si>
  <si>
    <t>Новая локальная смета</t>
  </si>
  <si>
    <t>1</t>
  </si>
  <si>
    <t>3.7-30-10</t>
  </si>
  <si>
    <t>Установка плит парапета массой более 0,5 т</t>
  </si>
  <si>
    <t>100 сборных конструкций</t>
  </si>
  <si>
    <t>ТСН-2001.3 Доп. 56, Сб. 7, т. 30, поз. 10</t>
  </si>
  <si>
    <t>Строительные работы</t>
  </si>
  <si>
    <t>ТСН-2001.3-7. 7-1...7-30, 7-31-1...7-31-6</t>
  </si>
  <si>
    <t>ТСН-2001.3-7-1</t>
  </si>
  <si>
    <t>1,1</t>
  </si>
  <si>
    <t>КП "ПромЖБИ"</t>
  </si>
  <si>
    <t>Плита парапетная 1110*3630мм</t>
  </si>
  <si>
    <t>шт.</t>
  </si>
  <si>
    <t>[53 220 / 1,2 /  5,58]</t>
  </si>
  <si>
    <t>1,2</t>
  </si>
  <si>
    <t>Плита парапетная 1030*3000мм</t>
  </si>
  <si>
    <t>[42 090 / 1,2 /  5,58]</t>
  </si>
  <si>
    <t>2</t>
  </si>
  <si>
    <t>3.7-30-9</t>
  </si>
  <si>
    <t>Установка плит парапета массой до 0,5 т</t>
  </si>
  <si>
    <t>ТСН-2001.3 Доп. 56, Сб. 7, т. 30, поз. 9</t>
  </si>
  <si>
    <t>2,1</t>
  </si>
  <si>
    <t>Плита парапетная 540*2900мм</t>
  </si>
  <si>
    <t>[23 440 / 1,2 /  5,58]</t>
  </si>
  <si>
    <t>2,2</t>
  </si>
  <si>
    <t>Плита парапетная 860*1760мм</t>
  </si>
  <si>
    <t>[23 100 / 1,2 /  5,58]</t>
  </si>
  <si>
    <t>2,3</t>
  </si>
  <si>
    <t>Плита парапетная 860*920мм</t>
  </si>
  <si>
    <t>[14 200 / 1,2 /  5,58]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</si>
  <si>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</si>
  <si>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</si>
  <si>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</si>
  <si>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</si>
  <si>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</si>
  <si>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</si>
  <si>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</si>
  <si>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</si>
  <si>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</si>
  <si>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</si>
  <si>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</si>
  <si>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</si>
  <si>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</si>
  <si>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</si>
  <si>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</si>
  <si>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</si>
  <si>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</si>
  <si>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</si>
  <si>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</si>
  <si>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</si>
  <si>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</si>
  <si>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</si>
  <si>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</si>
  <si>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</si>
  <si>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</si>
  <si>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</si>
  <si>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</si>
  <si>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</si>
  <si>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</si>
  <si>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</si>
  <si>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</si>
  <si>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</si>
  <si>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</si>
  <si>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</si>
  <si>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</si>
  <si>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</si>
  <si>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</si>
  <si>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</si>
  <si>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</si>
  <si>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</si>
  <si>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</si>
  <si>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</si>
  <si>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</si>
  <si>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</si>
  <si>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</si>
  <si>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</si>
  <si>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</si>
  <si>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</si>
  <si>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</si>
  <si>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</si>
  <si>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</si>
  <si>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</si>
  <si>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</si>
  <si>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</si>
  <si>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Уровень цен</t>
  </si>
  <si>
    <t>Сборник индексов</t>
  </si>
  <si>
    <t>Коэффициенты к ТСН-2001 МГЭ</t>
  </si>
  <si>
    <t>169</t>
  </si>
  <si>
    <t>_OBSM_</t>
  </si>
  <si>
    <t>9999990008</t>
  </si>
  <si>
    <t>Трудозатраты рабочих</t>
  </si>
  <si>
    <t>чел.-ч.</t>
  </si>
  <si>
    <t>2.1-13-10</t>
  </si>
  <si>
    <t>ТСН-2001.2. Доп. 56. п.1-13-10 (135201)</t>
  </si>
  <si>
    <t>Инверторы для ручной дуговой сварки, сварочный ток до 400 А</t>
  </si>
  <si>
    <t>маш.-ч.</t>
  </si>
  <si>
    <t>1.1-1-1566</t>
  </si>
  <si>
    <t>ТСН-2001.1. Доп. 1-42. Р. 1, о. 1, поз. 1566</t>
  </si>
  <si>
    <t>Электроды, тип Э-42, 46, 50, диаметр 4 - 6 мм</t>
  </si>
  <si>
    <t>т</t>
  </si>
  <si>
    <t>1.3-2-5</t>
  </si>
  <si>
    <t>ТСН-2001.1. Доп. 1-42. Р. 3, о. 2, поз. 5</t>
  </si>
  <si>
    <t>Растворы цементные, марка 100</t>
  </si>
  <si>
    <t>м3</t>
  </si>
  <si>
    <t>5841000000</t>
  </si>
  <si>
    <t>Сборные железобетонные конструкции</t>
  </si>
  <si>
    <t>(наименование стройки)</t>
  </si>
  <si>
    <t>(локальный сметный расчет)</t>
  </si>
  <si>
    <t>(наименование работ и затрат, наименование объекта)</t>
  </si>
  <si>
    <t>базовая    цена</t>
  </si>
  <si>
    <t>текущая   цена</t>
  </si>
  <si>
    <t>Сметная стоимость</t>
  </si>
  <si>
    <t>Монтажные работы</t>
  </si>
  <si>
    <t>Оборудование</t>
  </si>
  <si>
    <t>Прочие работы</t>
  </si>
  <si>
    <t>Средства на оплату труда</t>
  </si>
  <si>
    <t xml:space="preserve">Кроме того: </t>
  </si>
  <si>
    <t>№№ п/п</t>
  </si>
  <si>
    <t>Шифр расценки и коды ресурсов</t>
  </si>
  <si>
    <t>Наименование работ и затрат</t>
  </si>
  <si>
    <t>Единица измерения</t>
  </si>
  <si>
    <t>Кол-во единиц</t>
  </si>
  <si>
    <t>Цена на ед. изм. руб.</t>
  </si>
  <si>
    <t>Попра-вочные коэфф.</t>
  </si>
  <si>
    <t>Коэфф. зимних удоро-жаний</t>
  </si>
  <si>
    <t>ВСЕГО в базисном уровне цен, руб.</t>
  </si>
  <si>
    <t>Коэфф. пересчета и нормы НР и СП</t>
  </si>
  <si>
    <t>Всего в текущем уровне цен, руб.</t>
  </si>
  <si>
    <t>Форма № 1б</t>
  </si>
  <si>
    <t>Составлен(а) в уровне текущих (прогнозных) цен Коэффициенты к ТСН-2001 МГЭ №169 октябрь 2020 года</t>
  </si>
  <si>
    <t>ЗП</t>
  </si>
  <si>
    <t>ЭМ</t>
  </si>
  <si>
    <t>МР</t>
  </si>
  <si>
    <r>
      <t>Плита парапетная 1110*3630мм</t>
    </r>
    <r>
      <rPr>
        <i/>
        <sz val="10"/>
        <rFont val="Arial"/>
        <family val="2"/>
        <charset val="204"/>
      </rPr>
      <t xml:space="preserve">
Базисная стоимость: 7 948,03 = [53 220 / 1,2 /  5,58]</t>
    </r>
  </si>
  <si>
    <r>
      <t>Плита парапетная 1030*3000мм</t>
    </r>
    <r>
      <rPr>
        <i/>
        <sz val="10"/>
        <rFont val="Arial"/>
        <family val="2"/>
        <charset val="204"/>
      </rPr>
      <t xml:space="preserve">
Базисная стоимость: 6 285,84 = [42 090 / 1,2 /  5,58]</t>
    </r>
  </si>
  <si>
    <t>НР от ЗП</t>
  </si>
  <si>
    <t>%</t>
  </si>
  <si>
    <t>СП от ЗП</t>
  </si>
  <si>
    <t>ЗТР</t>
  </si>
  <si>
    <t>чел-ч</t>
  </si>
  <si>
    <r>
      <t>Плита парапетная 540*2900мм</t>
    </r>
    <r>
      <rPr>
        <i/>
        <sz val="10"/>
        <rFont val="Arial"/>
        <family val="2"/>
        <charset val="204"/>
      </rPr>
      <t xml:space="preserve">
Базисная стоимость: 3 500,60 = [23 440 / 1,2 /  5,58]</t>
    </r>
  </si>
  <si>
    <r>
      <t>Плита парапетная 860*1760мм</t>
    </r>
    <r>
      <rPr>
        <i/>
        <sz val="10"/>
        <rFont val="Arial"/>
        <family val="2"/>
        <charset val="204"/>
      </rPr>
      <t xml:space="preserve">
Базисная стоимость: 3 449,82 = [23 100 / 1,2 /  5,58]</t>
    </r>
  </si>
  <si>
    <r>
      <t>Плита парапетная 860*920мм</t>
    </r>
    <r>
      <rPr>
        <i/>
        <sz val="10"/>
        <rFont val="Arial"/>
        <family val="2"/>
        <charset val="204"/>
      </rPr>
      <t xml:space="preserve">
Базисная стоимость: 2 120,67 = [14 200 / 1,2 /  5,58]</t>
    </r>
  </si>
  <si>
    <t xml:space="preserve">   Итого по ТСН-2001.16</t>
  </si>
  <si>
    <t xml:space="preserve">   Итого возвратных сумм</t>
  </si>
  <si>
    <t xml:space="preserve">  тыс.руб</t>
  </si>
  <si>
    <t xml:space="preserve">Составил   </t>
  </si>
  <si>
    <t>[должность,подпись(инициалы,фамилия)]</t>
  </si>
  <si>
    <t xml:space="preserve">Проверил   </t>
  </si>
  <si>
    <t>Выполнение работ по установке архитектурных элементов из бетона при устройстве ограждений трибун, расположенных на территории «Парка Ремесел» достопримечательного места «ВСХВ-ВДНХ-ВВЦ» по адресу: 129223, г. Москва, проспект Мира, дом 119.</t>
  </si>
  <si>
    <t>Итого</t>
  </si>
  <si>
    <t>НДС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</si>
</sst>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[Red]\-\ #,##0.00"/>
    <numFmt numFmtId="165" formatCode="#,##0.00####;[Red]\-\ #,##0.00####"/>
  </numFmts>
  <fonts count="20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b/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wrapText="1"/>
    </xf>
    <xf numFmtId="164" fontId="11" fillId="0" borderId="0" xfId="0" applyNumberFormat="1" applyFont="1"/>
    <xf numFmtId="0" fontId="11" fillId="0" borderId="0" xfId="0" applyFont="1" applyFill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165" fontId="1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9" fillId="0" borderId="0" xfId="0" applyFont="1" applyAlignment="1">
      <alignment wrapText="1"/>
    </xf>
    <xf numFmtId="0" fontId="11" fillId="0" borderId="0" xfId="0" quotePrefix="1" applyFont="1" applyAlignment="1">
      <alignment horizontal="right" wrapText="1"/>
    </xf>
    <xf numFmtId="164" fontId="0" fillId="0" borderId="0" xfId="0" applyNumberFormat="1"/>
    <xf numFmtId="0" fontId="0" fillId="0" borderId="5" xfId="0" applyBorder="1"/>
    <xf numFmtId="0" fontId="11" fillId="0" borderId="1" xfId="0" applyFont="1" applyBorder="1"/>
    <xf numFmtId="0" fontId="19" fillId="0" borderId="0" xfId="0" applyFont="1"/>
    <xf numFmtId="4" fontId="19" fillId="0" borderId="0" xfId="0" applyNumberFormat="1" applyFont="1"/>
    <xf numFmtId="0" fontId="11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center"/>
    </xf>
    <xf numFmtId="164" fontId="18" fillId="0" borderId="5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0" xfId="1" applyFont="1" applyFill="1" applyAlignment="1">
      <alignment horizontal="left"/>
    </xf>
    <xf numFmtId="0" fontId="9" fillId="0" borderId="0" xfId="1" applyFont="1" applyFill="1" applyAlignment="1">
      <alignment horizontal="left"/>
    </xf>
    <xf numFmtId="0" fontId="11" fillId="0" borderId="1" xfId="0" applyFont="1" applyBorder="1" applyAlignment="1">
      <alignment horizontal="left" wrapText="1"/>
    </xf>
    <xf numFmtId="0" fontId="15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0" fillId="0" borderId="0" xfId="0" applyAlignment="1"/>
    <xf numFmtId="0" fontId="11" fillId="0" borderId="0" xfId="0" applyFont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9"/>
  <sheetViews>
    <sheetView tabSelected="1" topLeftCell="A5" zoomScale="70" zoomScaleNormal="70" workbookViewId="0">
      <selection activeCell="A58" sqref="A58:XFD60"/>
    </sheetView>
  </sheetViews>
  <sheetFormatPr defaultRowHeight="12.75" x14ac:dyDescent="0.2"/>
  <cols>
    <col min="1" max="1" width="5.7109375" customWidth="1"/>
    <col min="2" max="2" width="13.85546875" customWidth="1"/>
    <col min="3" max="3" width="43.140625" customWidth="1"/>
    <col min="4" max="6" width="11.7109375" customWidth="1"/>
    <col min="7" max="7" width="12.7109375" customWidth="1"/>
    <col min="8" max="8" width="10.7109375" customWidth="1"/>
    <col min="9" max="10" width="12.7109375" customWidth="1"/>
    <col min="11" max="11" width="14.140625" customWidth="1"/>
    <col min="15" max="42" width="0" hidden="1" customWidth="1"/>
  </cols>
  <sheetData>
    <row r="1" spans="1:11" x14ac:dyDescent="0.2">
      <c r="A1" s="9" t="str">
        <f>Source!B1</f>
        <v>Smeta.RU  (495) 974-1589</v>
      </c>
    </row>
    <row r="2" spans="1:11" ht="14.25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 t="s">
        <v>140</v>
      </c>
    </row>
    <row r="3" spans="1:11" ht="36.75" customHeight="1" x14ac:dyDescent="0.25">
      <c r="A3" s="44" t="s">
        <v>161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x14ac:dyDescent="0.2">
      <c r="A4" s="31" t="s">
        <v>118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ht="14.25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5.75" x14ac:dyDescent="0.25">
      <c r="A6" s="44" t="str">
        <f>CONCATENATE( "ЛОКАЛЬНАЯ СМЕТА № ",IF(Source!F12&lt;&gt;"Новый объект", Source!F12, ""))</f>
        <v xml:space="preserve">ЛОКАЛЬНАЯ СМЕТА № </v>
      </c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 x14ac:dyDescent="0.2">
      <c r="A7" s="41" t="s">
        <v>119</v>
      </c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14.25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18" hidden="1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</row>
    <row r="10" spans="1:11" ht="14.25" hidden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18" x14ac:dyDescent="0.25">
      <c r="A11" s="47" t="str">
        <f>IF(Source!G12&lt;&gt;"Новый объект", Source!G12, "")</f>
        <v>Крышки парапета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</row>
    <row r="12" spans="1:11" x14ac:dyDescent="0.2">
      <c r="A12" s="41" t="s">
        <v>120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1:11" ht="14.2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4.25" x14ac:dyDescent="0.2">
      <c r="A14" s="43" t="str">
        <f>CONCATENATE( "Основание: чертежи № ", Source!J12)</f>
        <v xml:space="preserve">Основание: чертежи № 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ht="28.5" x14ac:dyDescent="0.2">
      <c r="A15" s="10"/>
      <c r="B15" s="10"/>
      <c r="C15" s="10"/>
      <c r="D15" s="10"/>
      <c r="E15" s="10"/>
      <c r="F15" s="10"/>
      <c r="G15" s="10"/>
      <c r="H15" s="10"/>
      <c r="I15" s="11" t="s">
        <v>121</v>
      </c>
      <c r="J15" s="11" t="s">
        <v>122</v>
      </c>
      <c r="K15" s="10"/>
    </row>
    <row r="16" spans="1:11" ht="14.25" x14ac:dyDescent="0.2">
      <c r="A16" s="10"/>
      <c r="B16" s="10"/>
      <c r="C16" s="10"/>
      <c r="D16" s="10"/>
      <c r="E16" s="10"/>
      <c r="F16" s="36" t="s">
        <v>123</v>
      </c>
      <c r="G16" s="36"/>
      <c r="H16" s="36"/>
      <c r="I16" s="12">
        <f>SUM(O1:O59)/1000</f>
        <v>403.40436000000005</v>
      </c>
      <c r="J16" s="12">
        <f>(Source!F90/1000)</f>
        <v>2278.1111099999998</v>
      </c>
      <c r="K16" s="10" t="s">
        <v>157</v>
      </c>
    </row>
    <row r="17" spans="1:23" ht="14.25" x14ac:dyDescent="0.2">
      <c r="A17" s="10"/>
      <c r="B17" s="10"/>
      <c r="C17" s="10"/>
      <c r="D17" s="10"/>
      <c r="E17" s="10"/>
      <c r="F17" s="36" t="s">
        <v>18</v>
      </c>
      <c r="G17" s="36"/>
      <c r="H17" s="36"/>
      <c r="I17" s="12">
        <f>SUM(X1:X59)/1000</f>
        <v>403.40436000000005</v>
      </c>
      <c r="J17" s="12">
        <f>(Source!F79)/1000</f>
        <v>2278.1111099999998</v>
      </c>
      <c r="K17" s="10" t="s">
        <v>157</v>
      </c>
    </row>
    <row r="18" spans="1:23" ht="14.25" x14ac:dyDescent="0.2">
      <c r="A18" s="10"/>
      <c r="B18" s="10"/>
      <c r="C18" s="10"/>
      <c r="D18" s="10"/>
      <c r="E18" s="10"/>
      <c r="F18" s="36" t="s">
        <v>124</v>
      </c>
      <c r="G18" s="36"/>
      <c r="H18" s="36"/>
      <c r="I18" s="12">
        <f>SUM(Y1:Y59)/1000</f>
        <v>0</v>
      </c>
      <c r="J18" s="12">
        <f>(Source!F80)/1000</f>
        <v>0</v>
      </c>
      <c r="K18" s="10" t="s">
        <v>157</v>
      </c>
    </row>
    <row r="19" spans="1:23" ht="14.25" x14ac:dyDescent="0.2">
      <c r="A19" s="10"/>
      <c r="B19" s="10"/>
      <c r="C19" s="10"/>
      <c r="D19" s="10"/>
      <c r="E19" s="10"/>
      <c r="F19" s="36" t="s">
        <v>125</v>
      </c>
      <c r="G19" s="36"/>
      <c r="H19" s="36"/>
      <c r="I19" s="12">
        <f>SUM(Z1:Z59)/1000</f>
        <v>0</v>
      </c>
      <c r="J19" s="12">
        <f>(Source!F71)/1000</f>
        <v>0</v>
      </c>
      <c r="K19" s="10" t="s">
        <v>157</v>
      </c>
    </row>
    <row r="20" spans="1:23" ht="14.25" x14ac:dyDescent="0.2">
      <c r="A20" s="10"/>
      <c r="B20" s="10"/>
      <c r="C20" s="10"/>
      <c r="D20" s="10"/>
      <c r="E20" s="10"/>
      <c r="F20" s="36" t="s">
        <v>126</v>
      </c>
      <c r="G20" s="36"/>
      <c r="H20" s="36"/>
      <c r="I20" s="12">
        <f>SUM(AA1:AA59)/1000</f>
        <v>0</v>
      </c>
      <c r="J20" s="12">
        <f>(Source!F81+Source!F82)/1000</f>
        <v>0</v>
      </c>
      <c r="K20" s="10" t="s">
        <v>157</v>
      </c>
    </row>
    <row r="21" spans="1:23" ht="14.25" x14ac:dyDescent="0.2">
      <c r="A21" s="10"/>
      <c r="B21" s="10"/>
      <c r="C21" s="10"/>
      <c r="D21" s="10"/>
      <c r="E21" s="10"/>
      <c r="F21" s="36" t="s">
        <v>127</v>
      </c>
      <c r="G21" s="36"/>
      <c r="H21" s="36"/>
      <c r="I21" s="12">
        <f>SUM(W1:W59)/1000</f>
        <v>0.52598</v>
      </c>
      <c r="J21" s="12">
        <f>(Source!F77+ Source!F76)/1000</f>
        <v>12.902290000000001</v>
      </c>
      <c r="K21" s="10" t="s">
        <v>157</v>
      </c>
    </row>
    <row r="22" spans="1:23" ht="14.25" hidden="1" x14ac:dyDescent="0.2">
      <c r="A22" s="10"/>
      <c r="B22" s="10"/>
      <c r="C22" s="10"/>
      <c r="D22" s="10"/>
      <c r="E22" s="10"/>
      <c r="F22" s="13" t="s">
        <v>128</v>
      </c>
      <c r="G22" s="13"/>
      <c r="H22" s="13"/>
      <c r="I22" s="12"/>
      <c r="J22" s="12"/>
      <c r="K22" s="10"/>
    </row>
    <row r="23" spans="1:23" ht="14.25" hidden="1" x14ac:dyDescent="0.2">
      <c r="A23" s="10"/>
      <c r="B23" s="10"/>
      <c r="C23" s="10"/>
      <c r="D23" s="10"/>
      <c r="E23" s="10"/>
      <c r="F23" s="37" t="s">
        <v>81</v>
      </c>
      <c r="G23" s="38"/>
      <c r="H23" s="38"/>
      <c r="I23" s="12">
        <f>SUM(AE1:AE59)/1000</f>
        <v>0</v>
      </c>
      <c r="J23" s="12">
        <f>SUM(AF1:AF59)/1000</f>
        <v>0</v>
      </c>
      <c r="K23" s="10" t="s">
        <v>157</v>
      </c>
    </row>
    <row r="24" spans="1:23" ht="14.25" x14ac:dyDescent="0.2">
      <c r="A24" s="39" t="s">
        <v>141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23" ht="57" x14ac:dyDescent="0.2">
      <c r="A25" s="14" t="s">
        <v>129</v>
      </c>
      <c r="B25" s="14" t="s">
        <v>130</v>
      </c>
      <c r="C25" s="14" t="s">
        <v>131</v>
      </c>
      <c r="D25" s="14" t="s">
        <v>132</v>
      </c>
      <c r="E25" s="14" t="s">
        <v>133</v>
      </c>
      <c r="F25" s="14" t="s">
        <v>134</v>
      </c>
      <c r="G25" s="15" t="s">
        <v>135</v>
      </c>
      <c r="H25" s="15" t="s">
        <v>136</v>
      </c>
      <c r="I25" s="14" t="s">
        <v>137</v>
      </c>
      <c r="J25" s="14" t="s">
        <v>138</v>
      </c>
      <c r="K25" s="14" t="s">
        <v>139</v>
      </c>
    </row>
    <row r="26" spans="1:23" ht="14.25" x14ac:dyDescent="0.2">
      <c r="A26" s="14">
        <v>1</v>
      </c>
      <c r="B26" s="14">
        <v>2</v>
      </c>
      <c r="C26" s="14">
        <v>3</v>
      </c>
      <c r="D26" s="14">
        <v>4</v>
      </c>
      <c r="E26" s="14">
        <v>5</v>
      </c>
      <c r="F26" s="14">
        <v>6</v>
      </c>
      <c r="G26" s="14">
        <v>7</v>
      </c>
      <c r="H26" s="14">
        <v>8</v>
      </c>
      <c r="I26" s="14">
        <v>9</v>
      </c>
      <c r="J26" s="14">
        <v>10</v>
      </c>
      <c r="K26" s="14">
        <v>11</v>
      </c>
    </row>
    <row r="28" spans="1:23" ht="16.5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</row>
    <row r="29" spans="1:23" ht="57" x14ac:dyDescent="0.2">
      <c r="A29" s="16" t="str">
        <f>Source!E24</f>
        <v>1</v>
      </c>
      <c r="B29" s="17" t="str">
        <f>Source!F24</f>
        <v>3.7-30-10</v>
      </c>
      <c r="C29" s="17" t="s">
        <v>15</v>
      </c>
      <c r="D29" s="19" t="str">
        <f>Source!H24</f>
        <v>100 сборных конструкций</v>
      </c>
      <c r="E29" s="18">
        <f>Source!I24</f>
        <v>0.2</v>
      </c>
      <c r="F29" s="21"/>
      <c r="G29" s="20"/>
      <c r="H29" s="18"/>
      <c r="I29" s="22"/>
      <c r="J29" s="18"/>
      <c r="K29" s="22"/>
      <c r="Q29">
        <f>ROUND((Source!DN24/100)*ROUND((ROUND((Source!AF24*Source!AV24*Source!I24),2)),2), 2)</f>
        <v>255.93</v>
      </c>
      <c r="R29">
        <f>Source!X24</f>
        <v>4895.95</v>
      </c>
      <c r="S29">
        <f>ROUND((Source!DO24/100)*ROUND((ROUND((Source!AF24*Source!AV24*Source!I24),2)),2), 2)</f>
        <v>191.54</v>
      </c>
      <c r="T29">
        <f>Source!Y24</f>
        <v>2211.08</v>
      </c>
      <c r="U29">
        <f>ROUND((175/100)*ROUND((ROUND((Source!AE24*Source!AV24*Source!I24),2)),2), 2)</f>
        <v>0</v>
      </c>
      <c r="V29">
        <f>ROUND((157/100)*ROUND(ROUND((ROUND((Source!AE24*Source!AV24*Source!I24),2)*Source!BS24),2), 2), 2)</f>
        <v>0</v>
      </c>
    </row>
    <row r="30" spans="1:23" x14ac:dyDescent="0.2">
      <c r="C30" s="23" t="str">
        <f>"Объем: "&amp;Source!I24&amp;"=20/"&amp;"100"</f>
        <v>Объем: 0,2=20/100</v>
      </c>
    </row>
    <row r="31" spans="1:23" ht="14.25" x14ac:dyDescent="0.2">
      <c r="A31" s="16"/>
      <c r="B31" s="17"/>
      <c r="C31" s="17" t="s">
        <v>142</v>
      </c>
      <c r="D31" s="19"/>
      <c r="E31" s="18"/>
      <c r="F31" s="21">
        <f>Source!AO24</f>
        <v>804.81</v>
      </c>
      <c r="G31" s="20" t="str">
        <f>Source!DG24</f>
        <v/>
      </c>
      <c r="H31" s="18">
        <f>Source!AV24</f>
        <v>1</v>
      </c>
      <c r="I31" s="22">
        <f>ROUND((ROUND((Source!AF24*Source!AV24*Source!I24),2)),2)</f>
        <v>160.96</v>
      </c>
      <c r="J31" s="18">
        <f>IF(Source!BA24&lt;&gt; 0, Source!BA24, 1)</f>
        <v>24.53</v>
      </c>
      <c r="K31" s="22">
        <f>Source!S24</f>
        <v>3948.35</v>
      </c>
      <c r="W31">
        <f>I31</f>
        <v>160.96</v>
      </c>
    </row>
    <row r="32" spans="1:23" ht="14.25" x14ac:dyDescent="0.2">
      <c r="A32" s="16"/>
      <c r="B32" s="17"/>
      <c r="C32" s="17" t="s">
        <v>143</v>
      </c>
      <c r="D32" s="19"/>
      <c r="E32" s="18"/>
      <c r="F32" s="21">
        <f>Source!AM24</f>
        <v>116.64</v>
      </c>
      <c r="G32" s="20" t="str">
        <f>Source!DE24</f>
        <v/>
      </c>
      <c r="H32" s="18">
        <f>Source!AV24</f>
        <v>1</v>
      </c>
      <c r="I32" s="22">
        <f>(ROUND((ROUND(((Source!ET24)*Source!AV24*Source!I24),2)),2)+ROUND((ROUND(((Source!AE24-(Source!EU24))*Source!AV24*Source!I24),2)),2))</f>
        <v>23.33</v>
      </c>
      <c r="J32" s="18">
        <f>IF(Source!BB24&lt;&gt; 0, Source!BB24, 1)</f>
        <v>10.81</v>
      </c>
      <c r="K32" s="22">
        <f>Source!Q24</f>
        <v>252.2</v>
      </c>
    </row>
    <row r="33" spans="1:27" ht="14.25" x14ac:dyDescent="0.2">
      <c r="A33" s="16"/>
      <c r="B33" s="17"/>
      <c r="C33" s="17" t="s">
        <v>144</v>
      </c>
      <c r="D33" s="19"/>
      <c r="E33" s="18"/>
      <c r="F33" s="21">
        <f>Source!AL24</f>
        <v>1069.3900000000001</v>
      </c>
      <c r="G33" s="20" t="str">
        <f>Source!DD24</f>
        <v/>
      </c>
      <c r="H33" s="18">
        <f>Source!AW24</f>
        <v>1</v>
      </c>
      <c r="I33" s="22">
        <f>ROUND((ROUND((Source!AC24*Source!AW24*Source!I24),2)),2)</f>
        <v>213.88</v>
      </c>
      <c r="J33" s="18">
        <f>IF(Source!BC24&lt;&gt; 0, Source!BC24, 1)</f>
        <v>8.2200000000000006</v>
      </c>
      <c r="K33" s="22">
        <f>Source!P24</f>
        <v>1758.09</v>
      </c>
    </row>
    <row r="34" spans="1:27" ht="39.75" x14ac:dyDescent="0.2">
      <c r="A34" s="16" t="str">
        <f>Source!E25</f>
        <v>1,1</v>
      </c>
      <c r="B34" s="17" t="str">
        <f>Source!F25</f>
        <v>КП "ПромЖБИ"</v>
      </c>
      <c r="C34" s="17" t="s">
        <v>145</v>
      </c>
      <c r="D34" s="19" t="str">
        <f>Source!H25</f>
        <v>шт.</v>
      </c>
      <c r="E34" s="18">
        <f>Source!I25</f>
        <v>12</v>
      </c>
      <c r="F34" s="21">
        <f>Source!AK25</f>
        <v>7948.03</v>
      </c>
      <c r="G34" s="24" t="s">
        <v>3</v>
      </c>
      <c r="H34" s="18">
        <f>Source!AW25</f>
        <v>1</v>
      </c>
      <c r="I34" s="22">
        <f>ROUND((ROUND((Source!AC25*Source!AW25*Source!I25),2)),2)+(ROUND((ROUND(((Source!ET25)*Source!AV25*Source!I25),2)),2)+ROUND((ROUND(((Source!AE25-(Source!EU25))*Source!AV25*Source!I25),2)),2))+ROUND((ROUND((Source!AF25*Source!AV25*Source!I25),2)),2)</f>
        <v>95376.36</v>
      </c>
      <c r="J34" s="18">
        <f>IF(Source!BC25&lt;&gt; 0, Source!BC25, 1)</f>
        <v>5.58</v>
      </c>
      <c r="K34" s="22">
        <f>Source!O25</f>
        <v>532200.09</v>
      </c>
      <c r="Q34">
        <f>ROUND((Source!DN25/100)*ROUND((ROUND((Source!AF25*Source!AV25*Source!I25),2)),2), 2)</f>
        <v>0</v>
      </c>
      <c r="R34">
        <f>Source!X25</f>
        <v>0</v>
      </c>
      <c r="S34">
        <f>ROUND((Source!DO25/100)*ROUND((ROUND((Source!AF25*Source!AV25*Source!I25),2)),2), 2)</f>
        <v>0</v>
      </c>
      <c r="T34">
        <f>Source!Y25</f>
        <v>0</v>
      </c>
      <c r="U34">
        <f>ROUND((175/100)*ROUND((ROUND((Source!AE25*Source!AV25*Source!I25),2)),2), 2)</f>
        <v>0</v>
      </c>
      <c r="V34">
        <f>ROUND((157/100)*ROUND(ROUND((ROUND((Source!AE25*Source!AV25*Source!I25),2)*Source!BS25),2), 2), 2)</f>
        <v>0</v>
      </c>
      <c r="X34">
        <f>IF(Source!BI25&lt;=1,I34, 0)</f>
        <v>95376.36</v>
      </c>
      <c r="Y34">
        <f>IF(Source!BI25=2,I34, 0)</f>
        <v>0</v>
      </c>
      <c r="Z34">
        <f>IF(Source!BI25=3,I34, 0)</f>
        <v>0</v>
      </c>
      <c r="AA34">
        <f>IF(Source!BI25=4,I34, 0)</f>
        <v>0</v>
      </c>
    </row>
    <row r="35" spans="1:27" ht="39.75" x14ac:dyDescent="0.2">
      <c r="A35" s="16" t="str">
        <f>Source!E26</f>
        <v>1,2</v>
      </c>
      <c r="B35" s="17" t="str">
        <f>Source!F26</f>
        <v>КП "ПромЖБИ"</v>
      </c>
      <c r="C35" s="17" t="s">
        <v>146</v>
      </c>
      <c r="D35" s="19" t="str">
        <f>Source!H26</f>
        <v>шт.</v>
      </c>
      <c r="E35" s="18">
        <f>Source!I26</f>
        <v>8</v>
      </c>
      <c r="F35" s="21">
        <f>Source!AK26</f>
        <v>6285.84</v>
      </c>
      <c r="G35" s="24" t="s">
        <v>3</v>
      </c>
      <c r="H35" s="18">
        <f>Source!AW26</f>
        <v>1</v>
      </c>
      <c r="I35" s="22">
        <f>ROUND((ROUND((Source!AC26*Source!AW26*Source!I26),2)),2)+(ROUND((ROUND(((Source!ET26)*Source!AV26*Source!I26),2)),2)+ROUND((ROUND(((Source!AE26-(Source!EU26))*Source!AV26*Source!I26),2)),2))+ROUND((ROUND((Source!AF26*Source!AV26*Source!I26),2)),2)</f>
        <v>50286.720000000001</v>
      </c>
      <c r="J35" s="18">
        <f>IF(Source!BC26&lt;&gt; 0, Source!BC26, 1)</f>
        <v>5.58</v>
      </c>
      <c r="K35" s="22">
        <f>Source!O26</f>
        <v>280599.90000000002</v>
      </c>
      <c r="Q35">
        <f>ROUND((Source!DN26/100)*ROUND((ROUND((Source!AF26*Source!AV26*Source!I26),2)),2), 2)</f>
        <v>0</v>
      </c>
      <c r="R35">
        <f>Source!X26</f>
        <v>0</v>
      </c>
      <c r="S35">
        <f>ROUND((Source!DO26/100)*ROUND((ROUND((Source!AF26*Source!AV26*Source!I26),2)),2), 2)</f>
        <v>0</v>
      </c>
      <c r="T35">
        <f>Source!Y26</f>
        <v>0</v>
      </c>
      <c r="U35">
        <f>ROUND((175/100)*ROUND((ROUND((Source!AE26*Source!AV26*Source!I26),2)),2), 2)</f>
        <v>0</v>
      </c>
      <c r="V35">
        <f>ROUND((157/100)*ROUND(ROUND((ROUND((Source!AE26*Source!AV26*Source!I26),2)*Source!BS26),2), 2), 2)</f>
        <v>0</v>
      </c>
      <c r="X35">
        <f>IF(Source!BI26&lt;=1,I35, 0)</f>
        <v>50286.720000000001</v>
      </c>
      <c r="Y35">
        <f>IF(Source!BI26=2,I35, 0)</f>
        <v>0</v>
      </c>
      <c r="Z35">
        <f>IF(Source!BI26=3,I35, 0)</f>
        <v>0</v>
      </c>
      <c r="AA35">
        <f>IF(Source!BI26=4,I35, 0)</f>
        <v>0</v>
      </c>
    </row>
    <row r="36" spans="1:27" ht="14.25" x14ac:dyDescent="0.2">
      <c r="A36" s="16"/>
      <c r="B36" s="17"/>
      <c r="C36" s="17" t="s">
        <v>147</v>
      </c>
      <c r="D36" s="19" t="s">
        <v>148</v>
      </c>
      <c r="E36" s="18">
        <f>Source!DN24</f>
        <v>159</v>
      </c>
      <c r="F36" s="21"/>
      <c r="G36" s="20"/>
      <c r="H36" s="18"/>
      <c r="I36" s="22">
        <f>SUM(Q29:Q35)</f>
        <v>255.93</v>
      </c>
      <c r="J36" s="18">
        <f>Source!BZ24</f>
        <v>124</v>
      </c>
      <c r="K36" s="22">
        <f>SUM(R29:R35)</f>
        <v>4895.95</v>
      </c>
    </row>
    <row r="37" spans="1:27" ht="14.25" x14ac:dyDescent="0.2">
      <c r="A37" s="16"/>
      <c r="B37" s="17"/>
      <c r="C37" s="17" t="s">
        <v>149</v>
      </c>
      <c r="D37" s="19" t="s">
        <v>148</v>
      </c>
      <c r="E37" s="18">
        <f>Source!DO24</f>
        <v>119</v>
      </c>
      <c r="F37" s="21"/>
      <c r="G37" s="20"/>
      <c r="H37" s="18"/>
      <c r="I37" s="22">
        <f>SUM(S29:S36)</f>
        <v>191.54</v>
      </c>
      <c r="J37" s="18">
        <f>Source!CA24</f>
        <v>56</v>
      </c>
      <c r="K37" s="22">
        <f>SUM(T29:T36)</f>
        <v>2211.08</v>
      </c>
    </row>
    <row r="38" spans="1:27" ht="14.25" x14ac:dyDescent="0.2">
      <c r="A38" s="16"/>
      <c r="B38" s="17"/>
      <c r="C38" s="17" t="s">
        <v>150</v>
      </c>
      <c r="D38" s="19" t="s">
        <v>151</v>
      </c>
      <c r="E38" s="18">
        <f>Source!AQ24</f>
        <v>66.900000000000006</v>
      </c>
      <c r="F38" s="21"/>
      <c r="G38" s="20" t="str">
        <f>Source!DI24</f>
        <v/>
      </c>
      <c r="H38" s="18">
        <f>Source!AV24</f>
        <v>1</v>
      </c>
      <c r="I38" s="22">
        <f>Source!U24</f>
        <v>13.380000000000003</v>
      </c>
      <c r="J38" s="18"/>
      <c r="K38" s="22"/>
    </row>
    <row r="39" spans="1:27" ht="15" x14ac:dyDescent="0.25">
      <c r="A39" s="26"/>
      <c r="B39" s="26"/>
      <c r="C39" s="26"/>
      <c r="D39" s="26"/>
      <c r="E39" s="26"/>
      <c r="F39" s="26"/>
      <c r="G39" s="26"/>
      <c r="H39" s="32">
        <f>I31+I32+I33+I36+I37+SUM(I34:I35)</f>
        <v>146508.72000000003</v>
      </c>
      <c r="I39" s="32"/>
      <c r="J39" s="32">
        <f>K31+K32+K33+K36+K37+SUM(K34:K35)</f>
        <v>825865.66</v>
      </c>
      <c r="K39" s="32"/>
      <c r="O39" s="25">
        <f>I31+I32+I33+I36+I37+SUM(I34:I35)</f>
        <v>146508.72000000003</v>
      </c>
      <c r="P39" s="25">
        <f>K31+K32+K33+K36+K37+SUM(K34:K35)</f>
        <v>825865.66</v>
      </c>
      <c r="X39">
        <f>IF(Source!BI24&lt;=1,I31+I32+I33+I36+I37-0, 0)</f>
        <v>845.64</v>
      </c>
      <c r="Y39">
        <f>IF(Source!BI24=2,I31+I32+I33+I36+I37-0, 0)</f>
        <v>0</v>
      </c>
      <c r="Z39">
        <f>IF(Source!BI24=3,I31+I32+I33+I36+I37-0, 0)</f>
        <v>0</v>
      </c>
      <c r="AA39">
        <f>IF(Source!BI24=4,I31+I32+I33+I36+I37,0)</f>
        <v>0</v>
      </c>
    </row>
    <row r="40" spans="1:27" ht="57" x14ac:dyDescent="0.2">
      <c r="A40" s="16" t="str">
        <f>Source!E27</f>
        <v>2</v>
      </c>
      <c r="B40" s="17" t="str">
        <f>Source!F27</f>
        <v>3.7-30-9</v>
      </c>
      <c r="C40" s="17" t="s">
        <v>31</v>
      </c>
      <c r="D40" s="19" t="str">
        <f>Source!H27</f>
        <v>100 сборных конструкций</v>
      </c>
      <c r="E40" s="18">
        <f>Source!I27</f>
        <v>0.78</v>
      </c>
      <c r="F40" s="21"/>
      <c r="G40" s="20"/>
      <c r="H40" s="18"/>
      <c r="I40" s="22"/>
      <c r="J40" s="18"/>
      <c r="K40" s="22"/>
      <c r="Q40">
        <f>ROUND((Source!DN27/100)*ROUND((ROUND((Source!AF27*Source!AV27*Source!I27),2)),2), 2)</f>
        <v>580.38</v>
      </c>
      <c r="R40">
        <f>Source!X27</f>
        <v>11102.89</v>
      </c>
      <c r="S40">
        <f>ROUND((Source!DO27/100)*ROUND((ROUND((Source!AF27*Source!AV27*Source!I27),2)),2), 2)</f>
        <v>434.37</v>
      </c>
      <c r="T40">
        <f>Source!Y27</f>
        <v>5014.21</v>
      </c>
      <c r="U40">
        <f>ROUND((175/100)*ROUND((ROUND((Source!AE27*Source!AV27*Source!I27),2)),2), 2)</f>
        <v>0</v>
      </c>
      <c r="V40">
        <f>ROUND((157/100)*ROUND(ROUND((ROUND((Source!AE27*Source!AV27*Source!I27),2)*Source!BS27),2), 2), 2)</f>
        <v>0</v>
      </c>
    </row>
    <row r="41" spans="1:27" x14ac:dyDescent="0.2">
      <c r="C41" s="23" t="str">
        <f>"Объем: "&amp;Source!I27&amp;"=78/"&amp;"100"</f>
        <v>Объем: 0,78=78/100</v>
      </c>
    </row>
    <row r="42" spans="1:27" ht="14.25" x14ac:dyDescent="0.2">
      <c r="A42" s="16"/>
      <c r="B42" s="17"/>
      <c r="C42" s="17" t="s">
        <v>142</v>
      </c>
      <c r="D42" s="19"/>
      <c r="E42" s="18"/>
      <c r="F42" s="21">
        <f>Source!AO27</f>
        <v>467.97</v>
      </c>
      <c r="G42" s="20" t="str">
        <f>Source!DG27</f>
        <v/>
      </c>
      <c r="H42" s="18">
        <f>Source!AV27</f>
        <v>1</v>
      </c>
      <c r="I42" s="22">
        <f>ROUND((ROUND((Source!AF27*Source!AV27*Source!I27),2)),2)</f>
        <v>365.02</v>
      </c>
      <c r="J42" s="18">
        <f>IF(Source!BA27&lt;&gt; 0, Source!BA27, 1)</f>
        <v>24.53</v>
      </c>
      <c r="K42" s="22">
        <f>Source!S27</f>
        <v>8953.94</v>
      </c>
      <c r="W42">
        <f>I42</f>
        <v>365.02</v>
      </c>
    </row>
    <row r="43" spans="1:27" ht="14.25" x14ac:dyDescent="0.2">
      <c r="A43" s="16"/>
      <c r="B43" s="17"/>
      <c r="C43" s="17" t="s">
        <v>143</v>
      </c>
      <c r="D43" s="19"/>
      <c r="E43" s="18"/>
      <c r="F43" s="21">
        <f>Source!AM27</f>
        <v>57.83</v>
      </c>
      <c r="G43" s="20" t="str">
        <f>Source!DE27</f>
        <v/>
      </c>
      <c r="H43" s="18">
        <f>Source!AV27</f>
        <v>1</v>
      </c>
      <c r="I43" s="22">
        <f>(ROUND((ROUND(((Source!ET27)*Source!AV27*Source!I27),2)),2)+ROUND((ROUND(((Source!AE27-(Source!EU27))*Source!AV27*Source!I27),2)),2))</f>
        <v>45.11</v>
      </c>
      <c r="J43" s="18">
        <f>IF(Source!BB27&lt;&gt; 0, Source!BB27, 1)</f>
        <v>10.81</v>
      </c>
      <c r="K43" s="22">
        <f>Source!Q27</f>
        <v>487.64</v>
      </c>
    </row>
    <row r="44" spans="1:27" ht="14.25" x14ac:dyDescent="0.2">
      <c r="A44" s="16"/>
      <c r="B44" s="17"/>
      <c r="C44" s="17" t="s">
        <v>144</v>
      </c>
      <c r="D44" s="19"/>
      <c r="E44" s="18"/>
      <c r="F44" s="21">
        <f>Source!AL27</f>
        <v>649.38</v>
      </c>
      <c r="G44" s="20" t="str">
        <f>Source!DD27</f>
        <v/>
      </c>
      <c r="H44" s="18">
        <f>Source!AW27</f>
        <v>1</v>
      </c>
      <c r="I44" s="22">
        <f>ROUND((ROUND((Source!AC27*Source!AW27*Source!I27),2)),2)</f>
        <v>506.52</v>
      </c>
      <c r="J44" s="18">
        <f>IF(Source!BC27&lt;&gt; 0, Source!BC27, 1)</f>
        <v>7.87</v>
      </c>
      <c r="K44" s="22">
        <f>Source!P27</f>
        <v>3986.31</v>
      </c>
    </row>
    <row r="45" spans="1:27" ht="39.75" x14ac:dyDescent="0.2">
      <c r="A45" s="16" t="str">
        <f>Source!E28</f>
        <v>2,1</v>
      </c>
      <c r="B45" s="17" t="str">
        <f>Source!F28</f>
        <v>КП "ПромЖБИ"</v>
      </c>
      <c r="C45" s="17" t="s">
        <v>152</v>
      </c>
      <c r="D45" s="19" t="str">
        <f>Source!H28</f>
        <v>шт.</v>
      </c>
      <c r="E45" s="18">
        <f>Source!I28</f>
        <v>36</v>
      </c>
      <c r="F45" s="21">
        <f>Source!AK28</f>
        <v>3500.6</v>
      </c>
      <c r="G45" s="24" t="s">
        <v>3</v>
      </c>
      <c r="H45" s="18">
        <f>Source!AW28</f>
        <v>1</v>
      </c>
      <c r="I45" s="22">
        <f>ROUND((ROUND((Source!AC28*Source!AW28*Source!I28),2)),2)+(ROUND((ROUND(((Source!ET28)*Source!AV28*Source!I28),2)),2)+ROUND((ROUND(((Source!AE28-(Source!EU28))*Source!AV28*Source!I28),2)),2))+ROUND((ROUND((Source!AF28*Source!AV28*Source!I28),2)),2)</f>
        <v>126021.6</v>
      </c>
      <c r="J45" s="18">
        <f>IF(Source!BC28&lt;&gt; 0, Source!BC28, 1)</f>
        <v>5.58</v>
      </c>
      <c r="K45" s="22">
        <f>Source!O28</f>
        <v>703200.53</v>
      </c>
      <c r="Q45">
        <f>ROUND((Source!DN28/100)*ROUND((ROUND((Source!AF28*Source!AV28*Source!I28),2)),2), 2)</f>
        <v>0</v>
      </c>
      <c r="R45">
        <f>Source!X28</f>
        <v>0</v>
      </c>
      <c r="S45">
        <f>ROUND((Source!DO28/100)*ROUND((ROUND((Source!AF28*Source!AV28*Source!I28),2)),2), 2)</f>
        <v>0</v>
      </c>
      <c r="T45">
        <f>Source!Y28</f>
        <v>0</v>
      </c>
      <c r="U45">
        <f>ROUND((175/100)*ROUND((ROUND((Source!AE28*Source!AV28*Source!I28),2)),2), 2)</f>
        <v>0</v>
      </c>
      <c r="V45">
        <f>ROUND((157/100)*ROUND(ROUND((ROUND((Source!AE28*Source!AV28*Source!I28),2)*Source!BS28),2), 2), 2)</f>
        <v>0</v>
      </c>
      <c r="X45">
        <f>IF(Source!BI28&lt;=1,I45, 0)</f>
        <v>126021.6</v>
      </c>
      <c r="Y45">
        <f>IF(Source!BI28=2,I45, 0)</f>
        <v>0</v>
      </c>
      <c r="Z45">
        <f>IF(Source!BI28=3,I45, 0)</f>
        <v>0</v>
      </c>
      <c r="AA45">
        <f>IF(Source!BI28=4,I45, 0)</f>
        <v>0</v>
      </c>
    </row>
    <row r="46" spans="1:27" ht="39.75" x14ac:dyDescent="0.2">
      <c r="A46" s="16" t="str">
        <f>Source!E29</f>
        <v>2,2</v>
      </c>
      <c r="B46" s="17" t="str">
        <f>Source!F29</f>
        <v>КП "ПромЖБИ"</v>
      </c>
      <c r="C46" s="17" t="s">
        <v>153</v>
      </c>
      <c r="D46" s="19" t="str">
        <f>Source!H29</f>
        <v>шт.</v>
      </c>
      <c r="E46" s="18">
        <f>Source!I29</f>
        <v>30</v>
      </c>
      <c r="F46" s="21">
        <f>Source!AK29</f>
        <v>3449.82</v>
      </c>
      <c r="G46" s="24" t="s">
        <v>3</v>
      </c>
      <c r="H46" s="18">
        <f>Source!AW29</f>
        <v>1</v>
      </c>
      <c r="I46" s="22">
        <f>ROUND((ROUND((Source!AC29*Source!AW29*Source!I29),2)),2)+(ROUND((ROUND(((Source!ET29)*Source!AV29*Source!I29),2)),2)+ROUND((ROUND(((Source!AE29-(Source!EU29))*Source!AV29*Source!I29),2)),2))+ROUND((ROUND((Source!AF29*Source!AV29*Source!I29),2)),2)</f>
        <v>103494.6</v>
      </c>
      <c r="J46" s="18">
        <f>IF(Source!BC29&lt;&gt; 0, Source!BC29, 1)</f>
        <v>5.58</v>
      </c>
      <c r="K46" s="22">
        <f>Source!O29</f>
        <v>577499.87</v>
      </c>
      <c r="Q46">
        <f>ROUND((Source!DN29/100)*ROUND((ROUND((Source!AF29*Source!AV29*Source!I29),2)),2), 2)</f>
        <v>0</v>
      </c>
      <c r="R46">
        <f>Source!X29</f>
        <v>0</v>
      </c>
      <c r="S46">
        <f>ROUND((Source!DO29/100)*ROUND((ROUND((Source!AF29*Source!AV29*Source!I29),2)),2), 2)</f>
        <v>0</v>
      </c>
      <c r="T46">
        <f>Source!Y29</f>
        <v>0</v>
      </c>
      <c r="U46">
        <f>ROUND((175/100)*ROUND((ROUND((Source!AE29*Source!AV29*Source!I29),2)),2), 2)</f>
        <v>0</v>
      </c>
      <c r="V46">
        <f>ROUND((157/100)*ROUND(ROUND((ROUND((Source!AE29*Source!AV29*Source!I29),2)*Source!BS29),2), 2), 2)</f>
        <v>0</v>
      </c>
      <c r="X46">
        <f>IF(Source!BI29&lt;=1,I46, 0)</f>
        <v>103494.6</v>
      </c>
      <c r="Y46">
        <f>IF(Source!BI29=2,I46, 0)</f>
        <v>0</v>
      </c>
      <c r="Z46">
        <f>IF(Source!BI29=3,I46, 0)</f>
        <v>0</v>
      </c>
      <c r="AA46">
        <f>IF(Source!BI29=4,I46, 0)</f>
        <v>0</v>
      </c>
    </row>
    <row r="47" spans="1:27" ht="39.75" x14ac:dyDescent="0.2">
      <c r="A47" s="16" t="str">
        <f>Source!E30</f>
        <v>2,3</v>
      </c>
      <c r="B47" s="17" t="str">
        <f>Source!F30</f>
        <v>КП "ПромЖБИ"</v>
      </c>
      <c r="C47" s="17" t="s">
        <v>154</v>
      </c>
      <c r="D47" s="19" t="str">
        <f>Source!H30</f>
        <v>шт.</v>
      </c>
      <c r="E47" s="18">
        <f>Source!I30</f>
        <v>12</v>
      </c>
      <c r="F47" s="21">
        <f>Source!AK30</f>
        <v>2120.67</v>
      </c>
      <c r="G47" s="24" t="s">
        <v>3</v>
      </c>
      <c r="H47" s="18">
        <f>Source!AW30</f>
        <v>1</v>
      </c>
      <c r="I47" s="22">
        <f>ROUND((ROUND((Source!AC30*Source!AW30*Source!I30),2)),2)+(ROUND((ROUND(((Source!ET30)*Source!AV30*Source!I30),2)),2)+ROUND((ROUND(((Source!AE30-(Source!EU30))*Source!AV30*Source!I30),2)),2))+ROUND((ROUND((Source!AF30*Source!AV30*Source!I30),2)),2)</f>
        <v>25448.04</v>
      </c>
      <c r="J47" s="18">
        <f>IF(Source!BC30&lt;&gt; 0, Source!BC30, 1)</f>
        <v>5.58</v>
      </c>
      <c r="K47" s="22">
        <f>Source!O30</f>
        <v>142000.06</v>
      </c>
      <c r="Q47">
        <f>ROUND((Source!DN30/100)*ROUND((ROUND((Source!AF30*Source!AV30*Source!I30),2)),2), 2)</f>
        <v>0</v>
      </c>
      <c r="R47">
        <f>Source!X30</f>
        <v>0</v>
      </c>
      <c r="S47">
        <f>ROUND((Source!DO30/100)*ROUND((ROUND((Source!AF30*Source!AV30*Source!I30),2)),2), 2)</f>
        <v>0</v>
      </c>
      <c r="T47">
        <f>Source!Y30</f>
        <v>0</v>
      </c>
      <c r="U47">
        <f>ROUND((175/100)*ROUND((ROUND((Source!AE30*Source!AV30*Source!I30),2)),2), 2)</f>
        <v>0</v>
      </c>
      <c r="V47">
        <f>ROUND((157/100)*ROUND(ROUND((ROUND((Source!AE30*Source!AV30*Source!I30),2)*Source!BS30),2), 2), 2)</f>
        <v>0</v>
      </c>
      <c r="X47">
        <f>IF(Source!BI30&lt;=1,I47, 0)</f>
        <v>25448.04</v>
      </c>
      <c r="Y47">
        <f>IF(Source!BI30=2,I47, 0)</f>
        <v>0</v>
      </c>
      <c r="Z47">
        <f>IF(Source!BI30=3,I47, 0)</f>
        <v>0</v>
      </c>
      <c r="AA47">
        <f>IF(Source!BI30=4,I47, 0)</f>
        <v>0</v>
      </c>
    </row>
    <row r="48" spans="1:27" ht="14.25" x14ac:dyDescent="0.2">
      <c r="A48" s="16"/>
      <c r="B48" s="17"/>
      <c r="C48" s="17" t="s">
        <v>147</v>
      </c>
      <c r="D48" s="19" t="s">
        <v>148</v>
      </c>
      <c r="E48" s="18">
        <f>Source!DN27</f>
        <v>159</v>
      </c>
      <c r="F48" s="21"/>
      <c r="G48" s="20"/>
      <c r="H48" s="18"/>
      <c r="I48" s="22">
        <f>SUM(Q40:Q47)</f>
        <v>580.38</v>
      </c>
      <c r="J48" s="18">
        <f>Source!BZ27</f>
        <v>124</v>
      </c>
      <c r="K48" s="22">
        <f>SUM(R40:R47)</f>
        <v>11102.89</v>
      </c>
    </row>
    <row r="49" spans="1:27" ht="14.25" x14ac:dyDescent="0.2">
      <c r="A49" s="16"/>
      <c r="B49" s="17"/>
      <c r="C49" s="17" t="s">
        <v>149</v>
      </c>
      <c r="D49" s="19" t="s">
        <v>148</v>
      </c>
      <c r="E49" s="18">
        <f>Source!DO27</f>
        <v>119</v>
      </c>
      <c r="F49" s="21"/>
      <c r="G49" s="20"/>
      <c r="H49" s="18"/>
      <c r="I49" s="22">
        <f>SUM(S40:S48)</f>
        <v>434.37</v>
      </c>
      <c r="J49" s="18">
        <f>Source!CA27</f>
        <v>56</v>
      </c>
      <c r="K49" s="22">
        <f>SUM(T40:T48)</f>
        <v>5014.21</v>
      </c>
    </row>
    <row r="50" spans="1:27" ht="14.25" x14ac:dyDescent="0.2">
      <c r="A50" s="16"/>
      <c r="B50" s="17"/>
      <c r="C50" s="17" t="s">
        <v>150</v>
      </c>
      <c r="D50" s="19" t="s">
        <v>151</v>
      </c>
      <c r="E50" s="18">
        <f>Source!AQ27</f>
        <v>38.9</v>
      </c>
      <c r="F50" s="21"/>
      <c r="G50" s="20" t="str">
        <f>Source!DI27</f>
        <v/>
      </c>
      <c r="H50" s="18">
        <f>Source!AV27</f>
        <v>1</v>
      </c>
      <c r="I50" s="22">
        <f>Source!U27</f>
        <v>30.341999999999999</v>
      </c>
      <c r="J50" s="18"/>
      <c r="K50" s="22"/>
    </row>
    <row r="51" spans="1:27" ht="15" x14ac:dyDescent="0.25">
      <c r="A51" s="26"/>
      <c r="B51" s="26"/>
      <c r="C51" s="26"/>
      <c r="D51" s="26"/>
      <c r="E51" s="26"/>
      <c r="F51" s="26"/>
      <c r="G51" s="26"/>
      <c r="H51" s="32">
        <f>I42+I43+I44+I48+I49+SUM(I45:I47)</f>
        <v>256895.64</v>
      </c>
      <c r="I51" s="32"/>
      <c r="J51" s="32">
        <f>K42+K43+K44+K48+K49+SUM(K45:K47)</f>
        <v>1452245.45</v>
      </c>
      <c r="K51" s="32"/>
      <c r="O51" s="25">
        <f>I42+I43+I44+I48+I49+SUM(I45:I47)</f>
        <v>256895.64</v>
      </c>
      <c r="P51" s="25">
        <f>K42+K43+K44+K48+K49+SUM(K45:K47)</f>
        <v>1452245.45</v>
      </c>
      <c r="X51">
        <f>IF(Source!BI27&lt;=1,I42+I43+I44+I48+I49-0, 0)</f>
        <v>1931.4</v>
      </c>
      <c r="Y51">
        <f>IF(Source!BI27=2,I42+I43+I44+I48+I49-0, 0)</f>
        <v>0</v>
      </c>
      <c r="Z51">
        <f>IF(Source!BI27=3,I42+I43+I44+I48+I49-0, 0)</f>
        <v>0</v>
      </c>
      <c r="AA51">
        <f>IF(Source!BI27=4,I42+I43+I44+I48+I49,0)</f>
        <v>0</v>
      </c>
    </row>
    <row r="53" spans="1:27" ht="15" x14ac:dyDescent="0.25">
      <c r="A53" s="35" t="str">
        <f>CONCATENATE("Итого по локальной смете: ",IF(Source!G32&lt;&gt;"Новая локальная смета", Source!G32, ""))</f>
        <v xml:space="preserve">Итого по локальной смете: </v>
      </c>
      <c r="B53" s="35"/>
      <c r="C53" s="35"/>
      <c r="D53" s="35"/>
      <c r="E53" s="35"/>
      <c r="F53" s="35"/>
      <c r="G53" s="35"/>
      <c r="H53" s="33">
        <f>SUM(O28:O52)</f>
        <v>403404.36000000004</v>
      </c>
      <c r="I53" s="34"/>
      <c r="J53" s="33">
        <f>SUM(P28:P52)</f>
        <v>2278111.11</v>
      </c>
      <c r="K53" s="34"/>
    </row>
    <row r="54" spans="1:27" hidden="1" x14ac:dyDescent="0.2">
      <c r="A54" t="s">
        <v>155</v>
      </c>
      <c r="I54">
        <f>SUM(AC28:AC53)</f>
        <v>0</v>
      </c>
      <c r="J54">
        <f>SUM(AD28:AD53)</f>
        <v>0</v>
      </c>
    </row>
    <row r="55" spans="1:27" hidden="1" x14ac:dyDescent="0.2">
      <c r="A55" t="s">
        <v>156</v>
      </c>
      <c r="I55">
        <f>SUM(AE28:AE54)</f>
        <v>0</v>
      </c>
      <c r="J55">
        <f>SUM(AF28:AF54)</f>
        <v>0</v>
      </c>
    </row>
    <row r="57" spans="1:27" ht="15" x14ac:dyDescent="0.25">
      <c r="A57" s="35" t="str">
        <f>CONCATENATE("Итого по смете: ",IF(Source!G62&lt;&gt;"Новый объект", Source!G62, ""))</f>
        <v>Итого по смете: Крышки парапета</v>
      </c>
      <c r="B57" s="35"/>
      <c r="C57" s="35"/>
      <c r="D57" s="35"/>
      <c r="E57" s="35"/>
      <c r="F57" s="35"/>
      <c r="G57" s="35"/>
      <c r="H57" s="33">
        <f>SUM(O1:O56)</f>
        <v>403404.36000000004</v>
      </c>
      <c r="I57" s="34"/>
      <c r="J57" s="33">
        <f>SUM(P1:P56)</f>
        <v>2278111.11</v>
      </c>
      <c r="K57" s="34"/>
    </row>
    <row r="58" spans="1:27" ht="15.75" hidden="1" x14ac:dyDescent="0.25">
      <c r="C58" s="28" t="s">
        <v>162</v>
      </c>
      <c r="D58" s="28"/>
      <c r="E58" s="28"/>
      <c r="F58" s="28"/>
      <c r="G58" s="28"/>
      <c r="H58" s="28"/>
      <c r="I58" s="28"/>
      <c r="J58" s="28"/>
      <c r="K58" s="29">
        <f>J57</f>
        <v>2278111.11</v>
      </c>
    </row>
    <row r="59" spans="1:27" ht="15.75" hidden="1" x14ac:dyDescent="0.25">
      <c r="C59" s="28" t="s">
        <v>163</v>
      </c>
      <c r="D59" s="28"/>
      <c r="E59" s="28"/>
      <c r="F59" s="28"/>
      <c r="G59" s="28"/>
      <c r="H59" s="28"/>
      <c r="I59" s="28"/>
      <c r="J59" s="28"/>
      <c r="K59" s="29">
        <f>K58*0.2</f>
        <v>455622.22200000001</v>
      </c>
    </row>
    <row r="60" spans="1:27" ht="15.75" hidden="1" x14ac:dyDescent="0.25">
      <c r="C60" s="28" t="s">
        <v>94</v>
      </c>
      <c r="D60" s="28"/>
      <c r="E60" s="28"/>
      <c r="F60" s="28"/>
      <c r="G60" s="28"/>
      <c r="H60" s="28"/>
      <c r="I60" s="28"/>
      <c r="J60" s="28"/>
      <c r="K60" s="29">
        <f>K58+K59</f>
        <v>2733733.3319999999</v>
      </c>
    </row>
    <row r="61" spans="1:27" ht="15.75" x14ac:dyDescent="0.25">
      <c r="C61" s="28"/>
      <c r="D61" s="28"/>
      <c r="E61" s="28"/>
      <c r="F61" s="28"/>
      <c r="G61" s="28"/>
      <c r="H61" s="28"/>
      <c r="I61" s="28"/>
      <c r="J61" s="28"/>
      <c r="K61" s="28"/>
    </row>
    <row r="62" spans="1:27" ht="15.75" x14ac:dyDescent="0.25">
      <c r="C62" s="28"/>
      <c r="D62" s="28"/>
      <c r="E62" s="28"/>
      <c r="F62" s="28"/>
      <c r="G62" s="28"/>
      <c r="H62" s="28"/>
      <c r="I62" s="28"/>
      <c r="J62" s="28"/>
      <c r="K62" s="28"/>
    </row>
    <row r="63" spans="1:27" ht="15.75" x14ac:dyDescent="0.25">
      <c r="C63" s="28"/>
      <c r="D63" s="28"/>
      <c r="E63" s="28"/>
      <c r="F63" s="28"/>
      <c r="G63" s="28"/>
      <c r="H63" s="28"/>
      <c r="I63" s="28"/>
      <c r="J63" s="28"/>
      <c r="K63" s="28"/>
    </row>
    <row r="65" spans="1:11" ht="14.25" x14ac:dyDescent="0.2">
      <c r="A65" s="30" t="s">
        <v>158</v>
      </c>
      <c r="B65" s="30"/>
      <c r="C65" s="27" t="str">
        <f>IF(Source!AC12&lt;&gt;"", Source!AC12," ")</f>
        <v xml:space="preserve"> </v>
      </c>
      <c r="D65" s="27"/>
      <c r="E65" s="27"/>
      <c r="F65" s="27"/>
      <c r="G65" s="27"/>
      <c r="H65" s="10" t="str">
        <f>IF(Source!AB12&lt;&gt;"", Source!AB12," ")</f>
        <v xml:space="preserve"> </v>
      </c>
      <c r="I65" s="10"/>
      <c r="J65" s="10"/>
      <c r="K65" s="10"/>
    </row>
    <row r="66" spans="1:11" ht="14.25" x14ac:dyDescent="0.2">
      <c r="A66" s="10"/>
      <c r="B66" s="10"/>
      <c r="C66" s="31" t="s">
        <v>159</v>
      </c>
      <c r="D66" s="31"/>
      <c r="E66" s="31"/>
      <c r="F66" s="31"/>
      <c r="G66" s="31"/>
      <c r="H66" s="10"/>
      <c r="I66" s="10"/>
      <c r="J66" s="10"/>
      <c r="K66" s="10"/>
    </row>
    <row r="67" spans="1:11" ht="14.2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4.25" x14ac:dyDescent="0.2">
      <c r="A68" s="30" t="s">
        <v>160</v>
      </c>
      <c r="B68" s="30"/>
      <c r="C68" s="27" t="str">
        <f>IF(Source!AE12&lt;&gt;"", Source!AE12," ")</f>
        <v xml:space="preserve"> </v>
      </c>
      <c r="D68" s="27"/>
      <c r="E68" s="27"/>
      <c r="F68" s="27"/>
      <c r="G68" s="27"/>
      <c r="H68" s="10" t="str">
        <f>IF(Source!AD12&lt;&gt;"", Source!AD12," ")</f>
        <v xml:space="preserve"> </v>
      </c>
      <c r="I68" s="10"/>
      <c r="J68" s="10"/>
      <c r="K68" s="10"/>
    </row>
    <row r="69" spans="1:11" ht="14.25" x14ac:dyDescent="0.2">
      <c r="A69" s="10"/>
      <c r="B69" s="10"/>
      <c r="C69" s="31" t="s">
        <v>159</v>
      </c>
      <c r="D69" s="31"/>
      <c r="E69" s="31"/>
      <c r="F69" s="31"/>
      <c r="G69" s="31"/>
      <c r="H69" s="10"/>
      <c r="I69" s="10"/>
      <c r="J69" s="10"/>
      <c r="K69" s="10"/>
    </row>
  </sheetData>
  <mergeCells count="31">
    <mergeCell ref="A11:K11"/>
    <mergeCell ref="A3:K3"/>
    <mergeCell ref="A4:K4"/>
    <mergeCell ref="A6:K6"/>
    <mergeCell ref="A7:K7"/>
    <mergeCell ref="A9:K9"/>
    <mergeCell ref="J39:K39"/>
    <mergeCell ref="H39:I39"/>
    <mergeCell ref="A12:K12"/>
    <mergeCell ref="A14:K14"/>
    <mergeCell ref="F16:H16"/>
    <mergeCell ref="F17:H17"/>
    <mergeCell ref="F18:H18"/>
    <mergeCell ref="F19:H19"/>
    <mergeCell ref="F20:H20"/>
    <mergeCell ref="F21:H21"/>
    <mergeCell ref="F23:H23"/>
    <mergeCell ref="A24:K24"/>
    <mergeCell ref="A28:K28"/>
    <mergeCell ref="A65:B65"/>
    <mergeCell ref="C66:G66"/>
    <mergeCell ref="A68:B68"/>
    <mergeCell ref="C69:G69"/>
    <mergeCell ref="J51:K51"/>
    <mergeCell ref="H51:I51"/>
    <mergeCell ref="J53:K53"/>
    <mergeCell ref="H53:I53"/>
    <mergeCell ref="A53:G53"/>
    <mergeCell ref="J57:K57"/>
    <mergeCell ref="H57:I57"/>
    <mergeCell ref="A57:G57"/>
  </mergeCells>
  <pageMargins left="0.4" right="0.2" top="0.2" bottom="0.4" header="0.2" footer="0.2"/>
  <pageSetup paperSize="9" scale="61" fitToHeight="0" orientation="portrait" verticalDpi="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100"/>
  <sheetViews>
    <sheetView workbookViewId="0">
      <selection activeCell="A96" sqref="A96:AA96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63577</v>
      </c>
      <c r="M1">
        <v>10</v>
      </c>
      <c r="N1">
        <v>11</v>
      </c>
      <c r="O1">
        <v>0</v>
      </c>
      <c r="P1">
        <v>1</v>
      </c>
      <c r="Q1">
        <v>6</v>
      </c>
    </row>
    <row r="12" spans="1:133" x14ac:dyDescent="0.2">
      <c r="A12" s="1">
        <v>1</v>
      </c>
      <c r="B12" s="1">
        <v>95</v>
      </c>
      <c r="C12" s="1">
        <v>0</v>
      </c>
      <c r="D12" s="1">
        <f>ROW(A62)</f>
        <v>62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/>
      <c r="M12" s="1"/>
      <c r="N12" s="1"/>
      <c r="O12" s="1">
        <v>0</v>
      </c>
      <c r="P12" s="1">
        <v>0</v>
      </c>
      <c r="Q12" s="1">
        <v>0</v>
      </c>
      <c r="R12" s="1">
        <v>157</v>
      </c>
      <c r="S12" s="1"/>
      <c r="T12" s="1"/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/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18874376</v>
      </c>
      <c r="CI12" s="1" t="s">
        <v>3</v>
      </c>
      <c r="CJ12" s="1" t="s">
        <v>3</v>
      </c>
      <c r="CK12" s="1">
        <v>58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B62</f>
        <v>95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Новый объект</v>
      </c>
      <c r="G18" s="2" t="str">
        <f t="shared" si="0"/>
        <v>Крышки парапета</v>
      </c>
      <c r="H18" s="2"/>
      <c r="I18" s="2"/>
      <c r="J18" s="2"/>
      <c r="K18" s="2"/>
      <c r="L18" s="2"/>
      <c r="M18" s="2"/>
      <c r="N18" s="2"/>
      <c r="O18" s="2">
        <f t="shared" ref="O18:AT18" si="1">O62</f>
        <v>2254886.98</v>
      </c>
      <c r="P18" s="2">
        <f t="shared" si="1"/>
        <v>2241244.85</v>
      </c>
      <c r="Q18" s="2">
        <f t="shared" si="1"/>
        <v>739.84</v>
      </c>
      <c r="R18" s="2">
        <f t="shared" si="1"/>
        <v>0</v>
      </c>
      <c r="S18" s="2">
        <f t="shared" si="1"/>
        <v>12902.29</v>
      </c>
      <c r="T18" s="2">
        <f t="shared" si="1"/>
        <v>0</v>
      </c>
      <c r="U18" s="2">
        <f t="shared" si="1"/>
        <v>43.722000000000001</v>
      </c>
      <c r="V18" s="2">
        <f t="shared" si="1"/>
        <v>0</v>
      </c>
      <c r="W18" s="2">
        <f t="shared" si="1"/>
        <v>0</v>
      </c>
      <c r="X18" s="2">
        <f t="shared" si="1"/>
        <v>15998.84</v>
      </c>
      <c r="Y18" s="2">
        <f t="shared" si="1"/>
        <v>7225.29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0</v>
      </c>
      <c r="AQ18" s="2">
        <f t="shared" si="1"/>
        <v>0</v>
      </c>
      <c r="AR18" s="2">
        <f t="shared" si="1"/>
        <v>2278111.11</v>
      </c>
      <c r="AS18" s="2">
        <f t="shared" si="1"/>
        <v>2278111.11</v>
      </c>
      <c r="AT18" s="2">
        <f t="shared" si="1"/>
        <v>0</v>
      </c>
      <c r="AU18" s="2">
        <f t="shared" ref="AU18:BZ18" si="2">AU62</f>
        <v>0</v>
      </c>
      <c r="AV18" s="2">
        <f t="shared" si="2"/>
        <v>2241244.85</v>
      </c>
      <c r="AW18" s="2">
        <f t="shared" si="2"/>
        <v>2241244.85</v>
      </c>
      <c r="AX18" s="2">
        <f t="shared" si="2"/>
        <v>0</v>
      </c>
      <c r="AY18" s="2">
        <f t="shared" si="2"/>
        <v>2241244.85</v>
      </c>
      <c r="AZ18" s="2">
        <f t="shared" si="2"/>
        <v>0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CA62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DG62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EM62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FS62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ROW(A32)</f>
        <v>32</v>
      </c>
      <c r="E20" s="1"/>
      <c r="F20" s="1" t="s">
        <v>12</v>
      </c>
      <c r="G20" s="1" t="s">
        <v>12</v>
      </c>
      <c r="H20" s="1" t="s">
        <v>3</v>
      </c>
      <c r="I20" s="1">
        <v>0</v>
      </c>
      <c r="J20" s="1" t="s">
        <v>3</v>
      </c>
      <c r="K20" s="1">
        <v>0</v>
      </c>
      <c r="L20" s="1" t="s">
        <v>3</v>
      </c>
      <c r="M20" s="1"/>
      <c r="N20" s="1"/>
      <c r="O20" s="1"/>
      <c r="P20" s="1"/>
      <c r="Q20" s="1"/>
      <c r="R20" s="1"/>
      <c r="S20" s="1"/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</row>
    <row r="22" spans="1:245" x14ac:dyDescent="0.2">
      <c r="A22" s="2">
        <v>52</v>
      </c>
      <c r="B22" s="2">
        <f t="shared" ref="B22:G22" si="7">B32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Новая локальная смета</v>
      </c>
      <c r="G22" s="2" t="str">
        <f t="shared" si="7"/>
        <v>Новая локальная смета</v>
      </c>
      <c r="H22" s="2"/>
      <c r="I22" s="2"/>
      <c r="J22" s="2"/>
      <c r="K22" s="2"/>
      <c r="L22" s="2"/>
      <c r="M22" s="2"/>
      <c r="N22" s="2"/>
      <c r="O22" s="2">
        <f t="shared" ref="O22:AT22" si="8">O32</f>
        <v>2254886.98</v>
      </c>
      <c r="P22" s="2">
        <f t="shared" si="8"/>
        <v>2241244.85</v>
      </c>
      <c r="Q22" s="2">
        <f t="shared" si="8"/>
        <v>739.84</v>
      </c>
      <c r="R22" s="2">
        <f t="shared" si="8"/>
        <v>0</v>
      </c>
      <c r="S22" s="2">
        <f t="shared" si="8"/>
        <v>12902.29</v>
      </c>
      <c r="T22" s="2">
        <f t="shared" si="8"/>
        <v>0</v>
      </c>
      <c r="U22" s="2">
        <f t="shared" si="8"/>
        <v>43.722000000000001</v>
      </c>
      <c r="V22" s="2">
        <f t="shared" si="8"/>
        <v>0</v>
      </c>
      <c r="W22" s="2">
        <f t="shared" si="8"/>
        <v>0</v>
      </c>
      <c r="X22" s="2">
        <f t="shared" si="8"/>
        <v>15998.84</v>
      </c>
      <c r="Y22" s="2">
        <f t="shared" si="8"/>
        <v>7225.29</v>
      </c>
      <c r="Z22" s="2">
        <f t="shared" si="8"/>
        <v>0</v>
      </c>
      <c r="AA22" s="2">
        <f t="shared" si="8"/>
        <v>0</v>
      </c>
      <c r="AB22" s="2">
        <f t="shared" si="8"/>
        <v>2254886.98</v>
      </c>
      <c r="AC22" s="2">
        <f t="shared" si="8"/>
        <v>2241244.85</v>
      </c>
      <c r="AD22" s="2">
        <f t="shared" si="8"/>
        <v>739.84</v>
      </c>
      <c r="AE22" s="2">
        <f t="shared" si="8"/>
        <v>0</v>
      </c>
      <c r="AF22" s="2">
        <f t="shared" si="8"/>
        <v>12902.29</v>
      </c>
      <c r="AG22" s="2">
        <f t="shared" si="8"/>
        <v>0</v>
      </c>
      <c r="AH22" s="2">
        <f t="shared" si="8"/>
        <v>43.722000000000001</v>
      </c>
      <c r="AI22" s="2">
        <f t="shared" si="8"/>
        <v>0</v>
      </c>
      <c r="AJ22" s="2">
        <f t="shared" si="8"/>
        <v>0</v>
      </c>
      <c r="AK22" s="2">
        <f t="shared" si="8"/>
        <v>15998.84</v>
      </c>
      <c r="AL22" s="2">
        <f t="shared" si="8"/>
        <v>7225.29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2278111.11</v>
      </c>
      <c r="AS22" s="2">
        <f t="shared" si="8"/>
        <v>2278111.11</v>
      </c>
      <c r="AT22" s="2">
        <f t="shared" si="8"/>
        <v>0</v>
      </c>
      <c r="AU22" s="2">
        <f t="shared" ref="AU22:BZ22" si="9">AU32</f>
        <v>0</v>
      </c>
      <c r="AV22" s="2">
        <f t="shared" si="9"/>
        <v>2241244.85</v>
      </c>
      <c r="AW22" s="2">
        <f t="shared" si="9"/>
        <v>2241244.85</v>
      </c>
      <c r="AX22" s="2">
        <f t="shared" si="9"/>
        <v>0</v>
      </c>
      <c r="AY22" s="2">
        <f t="shared" si="9"/>
        <v>2241244.85</v>
      </c>
      <c r="AZ22" s="2">
        <f t="shared" si="9"/>
        <v>0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CA32</f>
        <v>2278111.11</v>
      </c>
      <c r="CB22" s="2">
        <f t="shared" si="10"/>
        <v>2278111.11</v>
      </c>
      <c r="CC22" s="2">
        <f t="shared" si="10"/>
        <v>0</v>
      </c>
      <c r="CD22" s="2">
        <f t="shared" si="10"/>
        <v>0</v>
      </c>
      <c r="CE22" s="2">
        <f t="shared" si="10"/>
        <v>2241244.85</v>
      </c>
      <c r="CF22" s="2">
        <f t="shared" si="10"/>
        <v>2241244.85</v>
      </c>
      <c r="CG22" s="2">
        <f t="shared" si="10"/>
        <v>0</v>
      </c>
      <c r="CH22" s="2">
        <f t="shared" si="10"/>
        <v>2241244.85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DG32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EM32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FS32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>
        <v>17</v>
      </c>
      <c r="B24">
        <v>1</v>
      </c>
      <c r="C24">
        <f>ROW(SmtRes!A6)</f>
        <v>6</v>
      </c>
      <c r="D24">
        <f>ROW(EtalonRes!A5)</f>
        <v>5</v>
      </c>
      <c r="E24" t="s">
        <v>13</v>
      </c>
      <c r="F24" t="s">
        <v>14</v>
      </c>
      <c r="G24" t="s">
        <v>15</v>
      </c>
      <c r="H24" t="s">
        <v>16</v>
      </c>
      <c r="I24">
        <f>ROUND(20/100,9)</f>
        <v>0.2</v>
      </c>
      <c r="J24">
        <v>0</v>
      </c>
      <c r="O24">
        <f t="shared" ref="O24:O30" si="14">ROUND(CP24,2)</f>
        <v>5958.64</v>
      </c>
      <c r="P24">
        <f t="shared" ref="P24:P30" si="15">ROUND((ROUND((AC24*AW24*I24),2)*BC24),2)</f>
        <v>1758.09</v>
      </c>
      <c r="Q24">
        <f t="shared" ref="Q24:Q30" si="16">(ROUND((ROUND(((ET24)*AV24*I24),2)*BB24),2)+ROUND((ROUND(((AE24-(EU24))*AV24*I24),2)*BS24),2))</f>
        <v>252.2</v>
      </c>
      <c r="R24">
        <f t="shared" ref="R24:R30" si="17">ROUND((ROUND((AE24*AV24*I24),2)*BS24),2)</f>
        <v>0</v>
      </c>
      <c r="S24">
        <f t="shared" ref="S24:S30" si="18">ROUND((ROUND((AF24*AV24*I24),2)*BA24),2)</f>
        <v>3948.35</v>
      </c>
      <c r="T24">
        <f t="shared" ref="T24:T30" si="19">ROUND(CU24*I24,2)</f>
        <v>0</v>
      </c>
      <c r="U24">
        <f t="shared" ref="U24:U30" si="20">CV24*I24</f>
        <v>13.380000000000003</v>
      </c>
      <c r="V24">
        <f t="shared" ref="V24:V30" si="21">CW24*I24</f>
        <v>0</v>
      </c>
      <c r="W24">
        <f t="shared" ref="W24:W30" si="22">ROUND(CX24*I24,2)</f>
        <v>0</v>
      </c>
      <c r="X24">
        <f t="shared" ref="X24:Y30" si="23">ROUND(CY24,2)</f>
        <v>4895.95</v>
      </c>
      <c r="Y24">
        <f t="shared" si="23"/>
        <v>2211.08</v>
      </c>
      <c r="AA24">
        <v>44887815</v>
      </c>
      <c r="AB24">
        <f t="shared" ref="AB24:AB30" si="24">ROUND((AC24+AD24+AF24),6)</f>
        <v>1990.84</v>
      </c>
      <c r="AC24">
        <f t="shared" ref="AC24:AC30" si="25">ROUND((ES24),6)</f>
        <v>1069.3900000000001</v>
      </c>
      <c r="AD24">
        <f t="shared" ref="AD24:AD30" si="26">ROUND((((ET24)-(EU24))+AE24),6)</f>
        <v>116.64</v>
      </c>
      <c r="AE24">
        <f t="shared" ref="AE24:AF30" si="27">ROUND((EU24),6)</f>
        <v>0</v>
      </c>
      <c r="AF24">
        <f t="shared" si="27"/>
        <v>804.81</v>
      </c>
      <c r="AG24">
        <f t="shared" ref="AG24:AG30" si="28">ROUND((AP24),6)</f>
        <v>0</v>
      </c>
      <c r="AH24">
        <f t="shared" ref="AH24:AI30" si="29">(EW24)</f>
        <v>66.900000000000006</v>
      </c>
      <c r="AI24">
        <f t="shared" si="29"/>
        <v>0</v>
      </c>
      <c r="AJ24">
        <f t="shared" ref="AJ24:AJ30" si="30">(AS24)</f>
        <v>0</v>
      </c>
      <c r="AK24">
        <v>1990.84</v>
      </c>
      <c r="AL24">
        <v>1069.3900000000001</v>
      </c>
      <c r="AM24">
        <v>116.64</v>
      </c>
      <c r="AN24">
        <v>0</v>
      </c>
      <c r="AO24">
        <v>804.81</v>
      </c>
      <c r="AP24">
        <v>0</v>
      </c>
      <c r="AQ24">
        <v>66.900000000000006</v>
      </c>
      <c r="AR24">
        <v>0</v>
      </c>
      <c r="AS24">
        <v>0</v>
      </c>
      <c r="AT24">
        <v>124</v>
      </c>
      <c r="AU24">
        <v>56</v>
      </c>
      <c r="AV24">
        <v>1</v>
      </c>
      <c r="AW24">
        <v>1</v>
      </c>
      <c r="AZ24">
        <v>1</v>
      </c>
      <c r="BA24">
        <v>24.53</v>
      </c>
      <c r="BB24">
        <v>10.81</v>
      </c>
      <c r="BC24">
        <v>8.2200000000000006</v>
      </c>
      <c r="BD24" t="s">
        <v>3</v>
      </c>
      <c r="BE24" t="s">
        <v>3</v>
      </c>
      <c r="BF24" t="s">
        <v>3</v>
      </c>
      <c r="BG24" t="s">
        <v>3</v>
      </c>
      <c r="BH24">
        <v>0</v>
      </c>
      <c r="BI24">
        <v>1</v>
      </c>
      <c r="BJ24" t="s">
        <v>17</v>
      </c>
      <c r="BM24">
        <v>55</v>
      </c>
      <c r="BN24">
        <v>0</v>
      </c>
      <c r="BO24" t="s">
        <v>14</v>
      </c>
      <c r="BP24">
        <v>1</v>
      </c>
      <c r="BQ24">
        <v>30</v>
      </c>
      <c r="BR24">
        <v>0</v>
      </c>
      <c r="BS24">
        <v>24.53</v>
      </c>
      <c r="BT24">
        <v>1</v>
      </c>
      <c r="BU24">
        <v>1</v>
      </c>
      <c r="BV24">
        <v>1</v>
      </c>
      <c r="BW24">
        <v>1</v>
      </c>
      <c r="BX24">
        <v>1</v>
      </c>
      <c r="BY24" t="s">
        <v>3</v>
      </c>
      <c r="BZ24">
        <v>124</v>
      </c>
      <c r="CA24">
        <v>56</v>
      </c>
      <c r="CE24">
        <v>30</v>
      </c>
      <c r="CF24">
        <v>0</v>
      </c>
      <c r="CG24">
        <v>0</v>
      </c>
      <c r="CM24">
        <v>0</v>
      </c>
      <c r="CN24" t="s">
        <v>3</v>
      </c>
      <c r="CO24">
        <v>0</v>
      </c>
      <c r="CP24">
        <f t="shared" ref="CP24:CP30" si="31">(P24+Q24+S24)</f>
        <v>5958.6399999999994</v>
      </c>
      <c r="CQ24">
        <f t="shared" ref="CQ24:CQ30" si="32">ROUND((ROUND((AC24*AW24*1),2)*BC24),2)</f>
        <v>8790.39</v>
      </c>
      <c r="CR24">
        <f t="shared" ref="CR24:CR30" si="33">(ROUND((ROUND(((ET24)*AV24*1),2)*BB24),2)+ROUND((ROUND(((AE24-(EU24))*AV24*1),2)*BS24),2))</f>
        <v>1260.8800000000001</v>
      </c>
      <c r="CS24">
        <f t="shared" ref="CS24:CS30" si="34">ROUND((ROUND((AE24*AV24*1),2)*BS24),2)</f>
        <v>0</v>
      </c>
      <c r="CT24">
        <f t="shared" ref="CT24:CT30" si="35">ROUND((ROUND((AF24*AV24*1),2)*BA24),2)</f>
        <v>19741.990000000002</v>
      </c>
      <c r="CU24">
        <f t="shared" ref="CU24:CU30" si="36">AG24</f>
        <v>0</v>
      </c>
      <c r="CV24">
        <f t="shared" ref="CV24:CV30" si="37">(AH24*AV24)</f>
        <v>66.900000000000006</v>
      </c>
      <c r="CW24">
        <f t="shared" ref="CW24:CX30" si="38">AI24</f>
        <v>0</v>
      </c>
      <c r="CX24">
        <f t="shared" si="38"/>
        <v>0</v>
      </c>
      <c r="CY24">
        <f t="shared" ref="CY24:CY30" si="39">S24*(BZ24/100)</f>
        <v>4895.9539999999997</v>
      </c>
      <c r="CZ24">
        <f t="shared" ref="CZ24:CZ30" si="40">S24*(CA24/100)</f>
        <v>2211.076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>
        <v>159</v>
      </c>
      <c r="DO24">
        <v>119</v>
      </c>
      <c r="DP24">
        <v>1</v>
      </c>
      <c r="DQ24">
        <v>1</v>
      </c>
      <c r="DU24">
        <v>30517203</v>
      </c>
      <c r="DV24" t="s">
        <v>16</v>
      </c>
      <c r="DW24" t="s">
        <v>16</v>
      </c>
      <c r="DX24">
        <v>1</v>
      </c>
      <c r="EE24">
        <v>44388191</v>
      </c>
      <c r="EF24">
        <v>30</v>
      </c>
      <c r="EG24" t="s">
        <v>18</v>
      </c>
      <c r="EH24">
        <v>0</v>
      </c>
      <c r="EI24" t="s">
        <v>3</v>
      </c>
      <c r="EJ24">
        <v>1</v>
      </c>
      <c r="EK24">
        <v>55</v>
      </c>
      <c r="EL24" t="s">
        <v>19</v>
      </c>
      <c r="EM24" t="s">
        <v>20</v>
      </c>
      <c r="EO24" t="s">
        <v>3</v>
      </c>
      <c r="EQ24">
        <v>0</v>
      </c>
      <c r="ER24">
        <v>1990.84</v>
      </c>
      <c r="ES24">
        <v>1069.3900000000001</v>
      </c>
      <c r="ET24">
        <v>116.64</v>
      </c>
      <c r="EU24">
        <v>0</v>
      </c>
      <c r="EV24">
        <v>804.81</v>
      </c>
      <c r="EW24">
        <v>66.900000000000006</v>
      </c>
      <c r="EX24">
        <v>0</v>
      </c>
      <c r="EY24">
        <v>0</v>
      </c>
      <c r="FQ24">
        <v>0</v>
      </c>
      <c r="FR24">
        <f t="shared" ref="FR24:FR30" si="41">ROUND(IF(AND(BH24=3,BI24=3),P24,0),2)</f>
        <v>0</v>
      </c>
      <c r="FS24">
        <v>0</v>
      </c>
      <c r="FX24">
        <v>159</v>
      </c>
      <c r="FY24">
        <v>119</v>
      </c>
      <c r="GA24" t="s">
        <v>3</v>
      </c>
      <c r="GD24">
        <v>0</v>
      </c>
      <c r="GF24">
        <v>-707522438</v>
      </c>
      <c r="GG24">
        <v>2</v>
      </c>
      <c r="GH24">
        <v>1</v>
      </c>
      <c r="GI24">
        <v>2</v>
      </c>
      <c r="GJ24">
        <v>0</v>
      </c>
      <c r="GK24">
        <f>ROUND(R24*(R12)/100,2)</f>
        <v>0</v>
      </c>
      <c r="GL24">
        <f t="shared" ref="GL24:GL30" si="42">ROUND(IF(AND(BH24=3,BI24=3,FS24&lt;&gt;0),P24,0),2)</f>
        <v>0</v>
      </c>
      <c r="GM24">
        <f t="shared" ref="GM24:GM30" si="43">ROUND(O24+X24+Y24+GK24,2)+GX24</f>
        <v>13065.67</v>
      </c>
      <c r="GN24">
        <f t="shared" ref="GN24:GN30" si="44">IF(OR(BI24=0,BI24=1),ROUND(O24+X24+Y24+GK24,2),0)</f>
        <v>13065.67</v>
      </c>
      <c r="GO24">
        <f t="shared" ref="GO24:GO30" si="45">IF(BI24=2,ROUND(O24+X24+Y24+GK24,2),0)</f>
        <v>0</v>
      </c>
      <c r="GP24">
        <f t="shared" ref="GP24:GP30" si="46">IF(BI24=4,ROUND(O24+X24+Y24+GK24,2)+GX24,0)</f>
        <v>0</v>
      </c>
      <c r="GR24">
        <v>0</v>
      </c>
      <c r="GS24">
        <v>3</v>
      </c>
      <c r="GT24">
        <v>0</v>
      </c>
      <c r="GU24" t="s">
        <v>3</v>
      </c>
      <c r="GV24">
        <f t="shared" ref="GV24:GV30" si="47">ROUND((GT24),6)</f>
        <v>0</v>
      </c>
      <c r="GW24">
        <v>1</v>
      </c>
      <c r="GX24">
        <f t="shared" ref="GX24:GX30" si="48">ROUND(HC24*I24,2)</f>
        <v>0</v>
      </c>
      <c r="HA24">
        <v>0</v>
      </c>
      <c r="HB24">
        <v>0</v>
      </c>
      <c r="HC24">
        <f t="shared" ref="HC24:HC30" si="49">GV24*GW24</f>
        <v>0</v>
      </c>
      <c r="IK24">
        <v>0</v>
      </c>
    </row>
    <row r="25" spans="1:245" x14ac:dyDescent="0.2">
      <c r="A25">
        <v>18</v>
      </c>
      <c r="B25">
        <v>1</v>
      </c>
      <c r="C25">
        <v>5</v>
      </c>
      <c r="E25" t="s">
        <v>21</v>
      </c>
      <c r="F25" t="s">
        <v>22</v>
      </c>
      <c r="G25" t="s">
        <v>23</v>
      </c>
      <c r="H25" t="s">
        <v>24</v>
      </c>
      <c r="I25">
        <f>I24*J25</f>
        <v>12</v>
      </c>
      <c r="J25">
        <v>60</v>
      </c>
      <c r="O25">
        <f t="shared" si="14"/>
        <v>532200.09</v>
      </c>
      <c r="P25">
        <f t="shared" si="15"/>
        <v>532200.09</v>
      </c>
      <c r="Q25">
        <f t="shared" si="16"/>
        <v>0</v>
      </c>
      <c r="R25">
        <f t="shared" si="17"/>
        <v>0</v>
      </c>
      <c r="S25">
        <f t="shared" si="18"/>
        <v>0</v>
      </c>
      <c r="T25">
        <f t="shared" si="19"/>
        <v>0</v>
      </c>
      <c r="U25">
        <f t="shared" si="20"/>
        <v>0</v>
      </c>
      <c r="V25">
        <f t="shared" si="21"/>
        <v>0</v>
      </c>
      <c r="W25">
        <f t="shared" si="22"/>
        <v>0</v>
      </c>
      <c r="X25">
        <f t="shared" si="23"/>
        <v>0</v>
      </c>
      <c r="Y25">
        <f t="shared" si="23"/>
        <v>0</v>
      </c>
      <c r="AA25">
        <v>44887815</v>
      </c>
      <c r="AB25">
        <f t="shared" si="24"/>
        <v>7948.03</v>
      </c>
      <c r="AC25">
        <f t="shared" si="25"/>
        <v>7948.03</v>
      </c>
      <c r="AD25">
        <f t="shared" si="26"/>
        <v>0</v>
      </c>
      <c r="AE25">
        <f t="shared" si="27"/>
        <v>0</v>
      </c>
      <c r="AF25">
        <f t="shared" si="27"/>
        <v>0</v>
      </c>
      <c r="AG25">
        <f t="shared" si="28"/>
        <v>0</v>
      </c>
      <c r="AH25">
        <f t="shared" si="29"/>
        <v>0</v>
      </c>
      <c r="AI25">
        <f t="shared" si="29"/>
        <v>0</v>
      </c>
      <c r="AJ25">
        <f t="shared" si="30"/>
        <v>0</v>
      </c>
      <c r="AK25">
        <v>7948.03</v>
      </c>
      <c r="AL25">
        <v>7948.03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Z25">
        <v>1</v>
      </c>
      <c r="BA25">
        <v>1</v>
      </c>
      <c r="BB25">
        <v>1</v>
      </c>
      <c r="BC25">
        <v>5.58</v>
      </c>
      <c r="BD25" t="s">
        <v>3</v>
      </c>
      <c r="BE25" t="s">
        <v>3</v>
      </c>
      <c r="BF25" t="s">
        <v>3</v>
      </c>
      <c r="BG25" t="s">
        <v>3</v>
      </c>
      <c r="BH25">
        <v>3</v>
      </c>
      <c r="BI25">
        <v>1</v>
      </c>
      <c r="BJ25" t="s">
        <v>3</v>
      </c>
      <c r="BM25">
        <v>55</v>
      </c>
      <c r="BN25">
        <v>0</v>
      </c>
      <c r="BO25" t="s">
        <v>3</v>
      </c>
      <c r="BP25">
        <v>0</v>
      </c>
      <c r="BQ25">
        <v>30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 t="s">
        <v>3</v>
      </c>
      <c r="BZ25">
        <v>0</v>
      </c>
      <c r="CA25">
        <v>0</v>
      </c>
      <c r="CE25">
        <v>30</v>
      </c>
      <c r="CF25">
        <v>0</v>
      </c>
      <c r="CG25">
        <v>0</v>
      </c>
      <c r="CM25">
        <v>0</v>
      </c>
      <c r="CN25" t="s">
        <v>3</v>
      </c>
      <c r="CO25">
        <v>0</v>
      </c>
      <c r="CP25">
        <f t="shared" si="31"/>
        <v>532200.09</v>
      </c>
      <c r="CQ25">
        <f t="shared" si="32"/>
        <v>44350.01</v>
      </c>
      <c r="CR25">
        <f t="shared" si="33"/>
        <v>0</v>
      </c>
      <c r="CS25">
        <f t="shared" si="34"/>
        <v>0</v>
      </c>
      <c r="CT25">
        <f t="shared" si="35"/>
        <v>0</v>
      </c>
      <c r="CU25">
        <f t="shared" si="36"/>
        <v>0</v>
      </c>
      <c r="CV25">
        <f t="shared" si="37"/>
        <v>0</v>
      </c>
      <c r="CW25">
        <f t="shared" si="38"/>
        <v>0</v>
      </c>
      <c r="CX25">
        <f t="shared" si="38"/>
        <v>0</v>
      </c>
      <c r="CY25">
        <f t="shared" si="39"/>
        <v>0</v>
      </c>
      <c r="CZ25">
        <f t="shared" si="40"/>
        <v>0</v>
      </c>
      <c r="DC25" t="s">
        <v>3</v>
      </c>
      <c r="DD25" t="s">
        <v>3</v>
      </c>
      <c r="DE25" t="s">
        <v>3</v>
      </c>
      <c r="DF25" t="s">
        <v>3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>
        <v>159</v>
      </c>
      <c r="DO25">
        <v>119</v>
      </c>
      <c r="DP25">
        <v>1</v>
      </c>
      <c r="DQ25">
        <v>1</v>
      </c>
      <c r="DU25">
        <v>1010</v>
      </c>
      <c r="DV25" t="s">
        <v>24</v>
      </c>
      <c r="DW25" t="s">
        <v>24</v>
      </c>
      <c r="DX25">
        <v>1</v>
      </c>
      <c r="EE25">
        <v>44388191</v>
      </c>
      <c r="EF25">
        <v>30</v>
      </c>
      <c r="EG25" t="s">
        <v>18</v>
      </c>
      <c r="EH25">
        <v>0</v>
      </c>
      <c r="EI25" t="s">
        <v>3</v>
      </c>
      <c r="EJ25">
        <v>1</v>
      </c>
      <c r="EK25">
        <v>55</v>
      </c>
      <c r="EL25" t="s">
        <v>19</v>
      </c>
      <c r="EM25" t="s">
        <v>20</v>
      </c>
      <c r="EO25" t="s">
        <v>3</v>
      </c>
      <c r="EQ25">
        <v>0</v>
      </c>
      <c r="ER25">
        <v>44350</v>
      </c>
      <c r="ES25">
        <v>7948.03</v>
      </c>
      <c r="ET25">
        <v>0</v>
      </c>
      <c r="EU25">
        <v>0</v>
      </c>
      <c r="EV25">
        <v>0</v>
      </c>
      <c r="EW25">
        <v>0</v>
      </c>
      <c r="EX25">
        <v>0</v>
      </c>
      <c r="EZ25">
        <v>5</v>
      </c>
      <c r="FC25">
        <v>1</v>
      </c>
      <c r="FD25">
        <v>18</v>
      </c>
      <c r="FF25">
        <v>53220</v>
      </c>
      <c r="FQ25">
        <v>0</v>
      </c>
      <c r="FR25">
        <f t="shared" si="41"/>
        <v>0</v>
      </c>
      <c r="FS25">
        <v>0</v>
      </c>
      <c r="FX25">
        <v>159</v>
      </c>
      <c r="FY25">
        <v>119</v>
      </c>
      <c r="GA25" t="s">
        <v>25</v>
      </c>
      <c r="GD25">
        <v>0</v>
      </c>
      <c r="GF25">
        <v>1342093602</v>
      </c>
      <c r="GG25">
        <v>2</v>
      </c>
      <c r="GH25">
        <v>3</v>
      </c>
      <c r="GI25">
        <v>3</v>
      </c>
      <c r="GJ25">
        <v>0</v>
      </c>
      <c r="GK25">
        <f>ROUND(R25*(R12)/100,2)</f>
        <v>0</v>
      </c>
      <c r="GL25">
        <f t="shared" si="42"/>
        <v>0</v>
      </c>
      <c r="GM25">
        <f t="shared" si="43"/>
        <v>532200.09</v>
      </c>
      <c r="GN25">
        <f t="shared" si="44"/>
        <v>532200.09</v>
      </c>
      <c r="GO25">
        <f t="shared" si="45"/>
        <v>0</v>
      </c>
      <c r="GP25">
        <f t="shared" si="46"/>
        <v>0</v>
      </c>
      <c r="GR25">
        <v>1</v>
      </c>
      <c r="GS25">
        <v>1</v>
      </c>
      <c r="GT25">
        <v>0</v>
      </c>
      <c r="GU25" t="s">
        <v>3</v>
      </c>
      <c r="GV25">
        <f t="shared" si="47"/>
        <v>0</v>
      </c>
      <c r="GW25">
        <v>1</v>
      </c>
      <c r="GX25">
        <f t="shared" si="48"/>
        <v>0</v>
      </c>
      <c r="HA25">
        <v>0</v>
      </c>
      <c r="HB25">
        <v>0</v>
      </c>
      <c r="HC25">
        <f t="shared" si="49"/>
        <v>0</v>
      </c>
      <c r="IK25">
        <v>0</v>
      </c>
    </row>
    <row r="26" spans="1:245" x14ac:dyDescent="0.2">
      <c r="A26">
        <v>18</v>
      </c>
      <c r="B26">
        <v>1</v>
      </c>
      <c r="C26">
        <v>6</v>
      </c>
      <c r="E26" t="s">
        <v>26</v>
      </c>
      <c r="F26" t="s">
        <v>22</v>
      </c>
      <c r="G26" t="s">
        <v>27</v>
      </c>
      <c r="H26" t="s">
        <v>24</v>
      </c>
      <c r="I26">
        <f>I24*J26</f>
        <v>8</v>
      </c>
      <c r="J26">
        <v>40</v>
      </c>
      <c r="O26">
        <f t="shared" si="14"/>
        <v>280599.90000000002</v>
      </c>
      <c r="P26">
        <f t="shared" si="15"/>
        <v>280599.90000000002</v>
      </c>
      <c r="Q26">
        <f t="shared" si="16"/>
        <v>0</v>
      </c>
      <c r="R26">
        <f t="shared" si="17"/>
        <v>0</v>
      </c>
      <c r="S26">
        <f t="shared" si="18"/>
        <v>0</v>
      </c>
      <c r="T26">
        <f t="shared" si="19"/>
        <v>0</v>
      </c>
      <c r="U26">
        <f t="shared" si="20"/>
        <v>0</v>
      </c>
      <c r="V26">
        <f t="shared" si="21"/>
        <v>0</v>
      </c>
      <c r="W26">
        <f t="shared" si="22"/>
        <v>0</v>
      </c>
      <c r="X26">
        <f t="shared" si="23"/>
        <v>0</v>
      </c>
      <c r="Y26">
        <f t="shared" si="23"/>
        <v>0</v>
      </c>
      <c r="AA26">
        <v>44887815</v>
      </c>
      <c r="AB26">
        <f t="shared" si="24"/>
        <v>6285.84</v>
      </c>
      <c r="AC26">
        <f t="shared" si="25"/>
        <v>6285.84</v>
      </c>
      <c r="AD26">
        <f t="shared" si="26"/>
        <v>0</v>
      </c>
      <c r="AE26">
        <f t="shared" si="27"/>
        <v>0</v>
      </c>
      <c r="AF26">
        <f t="shared" si="27"/>
        <v>0</v>
      </c>
      <c r="AG26">
        <f t="shared" si="28"/>
        <v>0</v>
      </c>
      <c r="AH26">
        <f t="shared" si="29"/>
        <v>0</v>
      </c>
      <c r="AI26">
        <f t="shared" si="29"/>
        <v>0</v>
      </c>
      <c r="AJ26">
        <f t="shared" si="30"/>
        <v>0</v>
      </c>
      <c r="AK26">
        <v>6285.84</v>
      </c>
      <c r="AL26">
        <v>6285.84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Z26">
        <v>1</v>
      </c>
      <c r="BA26">
        <v>1</v>
      </c>
      <c r="BB26">
        <v>1</v>
      </c>
      <c r="BC26">
        <v>5.58</v>
      </c>
      <c r="BD26" t="s">
        <v>3</v>
      </c>
      <c r="BE26" t="s">
        <v>3</v>
      </c>
      <c r="BF26" t="s">
        <v>3</v>
      </c>
      <c r="BG26" t="s">
        <v>3</v>
      </c>
      <c r="BH26">
        <v>3</v>
      </c>
      <c r="BI26">
        <v>1</v>
      </c>
      <c r="BJ26" t="s">
        <v>3</v>
      </c>
      <c r="BM26">
        <v>55</v>
      </c>
      <c r="BN26">
        <v>0</v>
      </c>
      <c r="BO26" t="s">
        <v>3</v>
      </c>
      <c r="BP26">
        <v>0</v>
      </c>
      <c r="BQ26">
        <v>30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 t="s">
        <v>3</v>
      </c>
      <c r="BZ26">
        <v>0</v>
      </c>
      <c r="CA26">
        <v>0</v>
      </c>
      <c r="CE26">
        <v>30</v>
      </c>
      <c r="CF26">
        <v>0</v>
      </c>
      <c r="CG26">
        <v>0</v>
      </c>
      <c r="CM26">
        <v>0</v>
      </c>
      <c r="CN26" t="s">
        <v>3</v>
      </c>
      <c r="CO26">
        <v>0</v>
      </c>
      <c r="CP26">
        <f t="shared" si="31"/>
        <v>280599.90000000002</v>
      </c>
      <c r="CQ26">
        <f t="shared" si="32"/>
        <v>35074.99</v>
      </c>
      <c r="CR26">
        <f t="shared" si="33"/>
        <v>0</v>
      </c>
      <c r="CS26">
        <f t="shared" si="34"/>
        <v>0</v>
      </c>
      <c r="CT26">
        <f t="shared" si="35"/>
        <v>0</v>
      </c>
      <c r="CU26">
        <f t="shared" si="36"/>
        <v>0</v>
      </c>
      <c r="CV26">
        <f t="shared" si="37"/>
        <v>0</v>
      </c>
      <c r="CW26">
        <f t="shared" si="38"/>
        <v>0</v>
      </c>
      <c r="CX26">
        <f t="shared" si="38"/>
        <v>0</v>
      </c>
      <c r="CY26">
        <f t="shared" si="39"/>
        <v>0</v>
      </c>
      <c r="CZ26">
        <f t="shared" si="40"/>
        <v>0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>
        <v>159</v>
      </c>
      <c r="DO26">
        <v>119</v>
      </c>
      <c r="DP26">
        <v>1</v>
      </c>
      <c r="DQ26">
        <v>1</v>
      </c>
      <c r="DU26">
        <v>1010</v>
      </c>
      <c r="DV26" t="s">
        <v>24</v>
      </c>
      <c r="DW26" t="s">
        <v>24</v>
      </c>
      <c r="DX26">
        <v>1</v>
      </c>
      <c r="EE26">
        <v>44388191</v>
      </c>
      <c r="EF26">
        <v>30</v>
      </c>
      <c r="EG26" t="s">
        <v>18</v>
      </c>
      <c r="EH26">
        <v>0</v>
      </c>
      <c r="EI26" t="s">
        <v>3</v>
      </c>
      <c r="EJ26">
        <v>1</v>
      </c>
      <c r="EK26">
        <v>55</v>
      </c>
      <c r="EL26" t="s">
        <v>19</v>
      </c>
      <c r="EM26" t="s">
        <v>20</v>
      </c>
      <c r="EO26" t="s">
        <v>3</v>
      </c>
      <c r="EQ26">
        <v>0</v>
      </c>
      <c r="ER26">
        <v>35075</v>
      </c>
      <c r="ES26">
        <v>6285.84</v>
      </c>
      <c r="ET26">
        <v>0</v>
      </c>
      <c r="EU26">
        <v>0</v>
      </c>
      <c r="EV26">
        <v>0</v>
      </c>
      <c r="EW26">
        <v>0</v>
      </c>
      <c r="EX26">
        <v>0</v>
      </c>
      <c r="EZ26">
        <v>5</v>
      </c>
      <c r="FC26">
        <v>1</v>
      </c>
      <c r="FD26">
        <v>18</v>
      </c>
      <c r="FF26">
        <v>42090</v>
      </c>
      <c r="FQ26">
        <v>0</v>
      </c>
      <c r="FR26">
        <f t="shared" si="41"/>
        <v>0</v>
      </c>
      <c r="FS26">
        <v>0</v>
      </c>
      <c r="FX26">
        <v>159</v>
      </c>
      <c r="FY26">
        <v>119</v>
      </c>
      <c r="GA26" t="s">
        <v>28</v>
      </c>
      <c r="GD26">
        <v>0</v>
      </c>
      <c r="GF26">
        <v>-327971188</v>
      </c>
      <c r="GG26">
        <v>2</v>
      </c>
      <c r="GH26">
        <v>3</v>
      </c>
      <c r="GI26">
        <v>3</v>
      </c>
      <c r="GJ26">
        <v>0</v>
      </c>
      <c r="GK26">
        <f>ROUND(R26*(R12)/100,2)</f>
        <v>0</v>
      </c>
      <c r="GL26">
        <f t="shared" si="42"/>
        <v>0</v>
      </c>
      <c r="GM26">
        <f t="shared" si="43"/>
        <v>280599.90000000002</v>
      </c>
      <c r="GN26">
        <f t="shared" si="44"/>
        <v>280599.90000000002</v>
      </c>
      <c r="GO26">
        <f t="shared" si="45"/>
        <v>0</v>
      </c>
      <c r="GP26">
        <f t="shared" si="46"/>
        <v>0</v>
      </c>
      <c r="GR26">
        <v>1</v>
      </c>
      <c r="GS26">
        <v>1</v>
      </c>
      <c r="GT26">
        <v>0</v>
      </c>
      <c r="GU26" t="s">
        <v>3</v>
      </c>
      <c r="GV26">
        <f t="shared" si="47"/>
        <v>0</v>
      </c>
      <c r="GW26">
        <v>1</v>
      </c>
      <c r="GX26">
        <f t="shared" si="48"/>
        <v>0</v>
      </c>
      <c r="HA26">
        <v>0</v>
      </c>
      <c r="HB26">
        <v>0</v>
      </c>
      <c r="HC26">
        <f t="shared" si="49"/>
        <v>0</v>
      </c>
      <c r="IK26">
        <v>0</v>
      </c>
    </row>
    <row r="27" spans="1:245" x14ac:dyDescent="0.2">
      <c r="A27">
        <v>17</v>
      </c>
      <c r="B27">
        <v>1</v>
      </c>
      <c r="C27">
        <f>ROW(SmtRes!A13)</f>
        <v>13</v>
      </c>
      <c r="D27">
        <f>ROW(EtalonRes!A10)</f>
        <v>10</v>
      </c>
      <c r="E27" t="s">
        <v>29</v>
      </c>
      <c r="F27" t="s">
        <v>30</v>
      </c>
      <c r="G27" t="s">
        <v>31</v>
      </c>
      <c r="H27" t="s">
        <v>16</v>
      </c>
      <c r="I27">
        <f>ROUND(78/100,9)</f>
        <v>0.78</v>
      </c>
      <c r="J27">
        <v>0</v>
      </c>
      <c r="O27">
        <f t="shared" si="14"/>
        <v>13427.89</v>
      </c>
      <c r="P27">
        <f t="shared" si="15"/>
        <v>3986.31</v>
      </c>
      <c r="Q27">
        <f t="shared" si="16"/>
        <v>487.64</v>
      </c>
      <c r="R27">
        <f t="shared" si="17"/>
        <v>0</v>
      </c>
      <c r="S27">
        <f t="shared" si="18"/>
        <v>8953.94</v>
      </c>
      <c r="T27">
        <f t="shared" si="19"/>
        <v>0</v>
      </c>
      <c r="U27">
        <f t="shared" si="20"/>
        <v>30.341999999999999</v>
      </c>
      <c r="V27">
        <f t="shared" si="21"/>
        <v>0</v>
      </c>
      <c r="W27">
        <f t="shared" si="22"/>
        <v>0</v>
      </c>
      <c r="X27">
        <f t="shared" si="23"/>
        <v>11102.89</v>
      </c>
      <c r="Y27">
        <f t="shared" si="23"/>
        <v>5014.21</v>
      </c>
      <c r="AA27">
        <v>44887815</v>
      </c>
      <c r="AB27">
        <f t="shared" si="24"/>
        <v>1175.18</v>
      </c>
      <c r="AC27">
        <f t="shared" si="25"/>
        <v>649.38</v>
      </c>
      <c r="AD27">
        <f t="shared" si="26"/>
        <v>57.83</v>
      </c>
      <c r="AE27">
        <f t="shared" si="27"/>
        <v>0</v>
      </c>
      <c r="AF27">
        <f t="shared" si="27"/>
        <v>467.97</v>
      </c>
      <c r="AG27">
        <f t="shared" si="28"/>
        <v>0</v>
      </c>
      <c r="AH27">
        <f t="shared" si="29"/>
        <v>38.9</v>
      </c>
      <c r="AI27">
        <f t="shared" si="29"/>
        <v>0</v>
      </c>
      <c r="AJ27">
        <f t="shared" si="30"/>
        <v>0</v>
      </c>
      <c r="AK27">
        <v>1175.18</v>
      </c>
      <c r="AL27">
        <v>649.38</v>
      </c>
      <c r="AM27">
        <v>57.83</v>
      </c>
      <c r="AN27">
        <v>0</v>
      </c>
      <c r="AO27">
        <v>467.97</v>
      </c>
      <c r="AP27">
        <v>0</v>
      </c>
      <c r="AQ27">
        <v>38.9</v>
      </c>
      <c r="AR27">
        <v>0</v>
      </c>
      <c r="AS27">
        <v>0</v>
      </c>
      <c r="AT27">
        <v>124</v>
      </c>
      <c r="AU27">
        <v>56</v>
      </c>
      <c r="AV27">
        <v>1</v>
      </c>
      <c r="AW27">
        <v>1</v>
      </c>
      <c r="AZ27">
        <v>1</v>
      </c>
      <c r="BA27">
        <v>24.53</v>
      </c>
      <c r="BB27">
        <v>10.81</v>
      </c>
      <c r="BC27">
        <v>7.87</v>
      </c>
      <c r="BD27" t="s">
        <v>3</v>
      </c>
      <c r="BE27" t="s">
        <v>3</v>
      </c>
      <c r="BF27" t="s">
        <v>3</v>
      </c>
      <c r="BG27" t="s">
        <v>3</v>
      </c>
      <c r="BH27">
        <v>0</v>
      </c>
      <c r="BI27">
        <v>1</v>
      </c>
      <c r="BJ27" t="s">
        <v>32</v>
      </c>
      <c r="BM27">
        <v>55</v>
      </c>
      <c r="BN27">
        <v>0</v>
      </c>
      <c r="BO27" t="s">
        <v>30</v>
      </c>
      <c r="BP27">
        <v>1</v>
      </c>
      <c r="BQ27">
        <v>30</v>
      </c>
      <c r="BR27">
        <v>0</v>
      </c>
      <c r="BS27">
        <v>24.53</v>
      </c>
      <c r="BT27">
        <v>1</v>
      </c>
      <c r="BU27">
        <v>1</v>
      </c>
      <c r="BV27">
        <v>1</v>
      </c>
      <c r="BW27">
        <v>1</v>
      </c>
      <c r="BX27">
        <v>1</v>
      </c>
      <c r="BY27" t="s">
        <v>3</v>
      </c>
      <c r="BZ27">
        <v>124</v>
      </c>
      <c r="CA27">
        <v>56</v>
      </c>
      <c r="CE27">
        <v>30</v>
      </c>
      <c r="CF27">
        <v>0</v>
      </c>
      <c r="CG27">
        <v>0</v>
      </c>
      <c r="CM27">
        <v>0</v>
      </c>
      <c r="CN27" t="s">
        <v>3</v>
      </c>
      <c r="CO27">
        <v>0</v>
      </c>
      <c r="CP27">
        <f t="shared" si="31"/>
        <v>13427.89</v>
      </c>
      <c r="CQ27">
        <f t="shared" si="32"/>
        <v>5110.62</v>
      </c>
      <c r="CR27">
        <f t="shared" si="33"/>
        <v>625.14</v>
      </c>
      <c r="CS27">
        <f t="shared" si="34"/>
        <v>0</v>
      </c>
      <c r="CT27">
        <f t="shared" si="35"/>
        <v>11479.3</v>
      </c>
      <c r="CU27">
        <f t="shared" si="36"/>
        <v>0</v>
      </c>
      <c r="CV27">
        <f t="shared" si="37"/>
        <v>38.9</v>
      </c>
      <c r="CW27">
        <f t="shared" si="38"/>
        <v>0</v>
      </c>
      <c r="CX27">
        <f t="shared" si="38"/>
        <v>0</v>
      </c>
      <c r="CY27">
        <f t="shared" si="39"/>
        <v>11102.885600000001</v>
      </c>
      <c r="CZ27">
        <f t="shared" si="40"/>
        <v>5014.2064000000009</v>
      </c>
      <c r="DC27" t="s">
        <v>3</v>
      </c>
      <c r="DD27" t="s">
        <v>3</v>
      </c>
      <c r="DE27" t="s">
        <v>3</v>
      </c>
      <c r="DF27" t="s">
        <v>3</v>
      </c>
      <c r="DG27" t="s">
        <v>3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  <c r="DN27">
        <v>159</v>
      </c>
      <c r="DO27">
        <v>119</v>
      </c>
      <c r="DP27">
        <v>1</v>
      </c>
      <c r="DQ27">
        <v>1</v>
      </c>
      <c r="DU27">
        <v>30517203</v>
      </c>
      <c r="DV27" t="s">
        <v>16</v>
      </c>
      <c r="DW27" t="s">
        <v>16</v>
      </c>
      <c r="DX27">
        <v>1</v>
      </c>
      <c r="EE27">
        <v>44388191</v>
      </c>
      <c r="EF27">
        <v>30</v>
      </c>
      <c r="EG27" t="s">
        <v>18</v>
      </c>
      <c r="EH27">
        <v>0</v>
      </c>
      <c r="EI27" t="s">
        <v>3</v>
      </c>
      <c r="EJ27">
        <v>1</v>
      </c>
      <c r="EK27">
        <v>55</v>
      </c>
      <c r="EL27" t="s">
        <v>19</v>
      </c>
      <c r="EM27" t="s">
        <v>20</v>
      </c>
      <c r="EO27" t="s">
        <v>3</v>
      </c>
      <c r="EQ27">
        <v>0</v>
      </c>
      <c r="ER27">
        <v>1175.18</v>
      </c>
      <c r="ES27">
        <v>649.38</v>
      </c>
      <c r="ET27">
        <v>57.83</v>
      </c>
      <c r="EU27">
        <v>0</v>
      </c>
      <c r="EV27">
        <v>467.97</v>
      </c>
      <c r="EW27">
        <v>38.9</v>
      </c>
      <c r="EX27">
        <v>0</v>
      </c>
      <c r="EY27">
        <v>0</v>
      </c>
      <c r="FQ27">
        <v>0</v>
      </c>
      <c r="FR27">
        <f t="shared" si="41"/>
        <v>0</v>
      </c>
      <c r="FS27">
        <v>0</v>
      </c>
      <c r="FX27">
        <v>159</v>
      </c>
      <c r="FY27">
        <v>119</v>
      </c>
      <c r="GA27" t="s">
        <v>3</v>
      </c>
      <c r="GD27">
        <v>0</v>
      </c>
      <c r="GF27">
        <v>399836649</v>
      </c>
      <c r="GG27">
        <v>2</v>
      </c>
      <c r="GH27">
        <v>1</v>
      </c>
      <c r="GI27">
        <v>2</v>
      </c>
      <c r="GJ27">
        <v>0</v>
      </c>
      <c r="GK27">
        <f>ROUND(R27*(R12)/100,2)</f>
        <v>0</v>
      </c>
      <c r="GL27">
        <f t="shared" si="42"/>
        <v>0</v>
      </c>
      <c r="GM27">
        <f t="shared" si="43"/>
        <v>29544.99</v>
      </c>
      <c r="GN27">
        <f t="shared" si="44"/>
        <v>29544.99</v>
      </c>
      <c r="GO27">
        <f t="shared" si="45"/>
        <v>0</v>
      </c>
      <c r="GP27">
        <f t="shared" si="46"/>
        <v>0</v>
      </c>
      <c r="GR27">
        <v>0</v>
      </c>
      <c r="GS27">
        <v>3</v>
      </c>
      <c r="GT27">
        <v>0</v>
      </c>
      <c r="GU27" t="s">
        <v>3</v>
      </c>
      <c r="GV27">
        <f t="shared" si="47"/>
        <v>0</v>
      </c>
      <c r="GW27">
        <v>1</v>
      </c>
      <c r="GX27">
        <f t="shared" si="48"/>
        <v>0</v>
      </c>
      <c r="HA27">
        <v>0</v>
      </c>
      <c r="HB27">
        <v>0</v>
      </c>
      <c r="HC27">
        <f t="shared" si="49"/>
        <v>0</v>
      </c>
      <c r="IK27">
        <v>0</v>
      </c>
    </row>
    <row r="28" spans="1:245" x14ac:dyDescent="0.2">
      <c r="A28">
        <v>18</v>
      </c>
      <c r="B28">
        <v>1</v>
      </c>
      <c r="C28">
        <v>13</v>
      </c>
      <c r="E28" t="s">
        <v>33</v>
      </c>
      <c r="F28" t="s">
        <v>22</v>
      </c>
      <c r="G28" t="s">
        <v>34</v>
      </c>
      <c r="H28" t="s">
        <v>24</v>
      </c>
      <c r="I28">
        <f>I27*J28</f>
        <v>36</v>
      </c>
      <c r="J28">
        <v>46.153846153846153</v>
      </c>
      <c r="O28">
        <f t="shared" si="14"/>
        <v>703200.53</v>
      </c>
      <c r="P28">
        <f t="shared" si="15"/>
        <v>703200.53</v>
      </c>
      <c r="Q28">
        <f t="shared" si="16"/>
        <v>0</v>
      </c>
      <c r="R28">
        <f t="shared" si="17"/>
        <v>0</v>
      </c>
      <c r="S28">
        <f t="shared" si="18"/>
        <v>0</v>
      </c>
      <c r="T28">
        <f t="shared" si="19"/>
        <v>0</v>
      </c>
      <c r="U28">
        <f t="shared" si="20"/>
        <v>0</v>
      </c>
      <c r="V28">
        <f t="shared" si="21"/>
        <v>0</v>
      </c>
      <c r="W28">
        <f t="shared" si="22"/>
        <v>0</v>
      </c>
      <c r="X28">
        <f t="shared" si="23"/>
        <v>0</v>
      </c>
      <c r="Y28">
        <f t="shared" si="23"/>
        <v>0</v>
      </c>
      <c r="AA28">
        <v>44887815</v>
      </c>
      <c r="AB28">
        <f t="shared" si="24"/>
        <v>3500.6</v>
      </c>
      <c r="AC28">
        <f t="shared" si="25"/>
        <v>3500.6</v>
      </c>
      <c r="AD28">
        <f t="shared" si="26"/>
        <v>0</v>
      </c>
      <c r="AE28">
        <f t="shared" si="27"/>
        <v>0</v>
      </c>
      <c r="AF28">
        <f t="shared" si="27"/>
        <v>0</v>
      </c>
      <c r="AG28">
        <f t="shared" si="28"/>
        <v>0</v>
      </c>
      <c r="AH28">
        <f t="shared" si="29"/>
        <v>0</v>
      </c>
      <c r="AI28">
        <f t="shared" si="29"/>
        <v>0</v>
      </c>
      <c r="AJ28">
        <f t="shared" si="30"/>
        <v>0</v>
      </c>
      <c r="AK28">
        <v>3500.6</v>
      </c>
      <c r="AL28">
        <v>3500.6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Z28">
        <v>1</v>
      </c>
      <c r="BA28">
        <v>1</v>
      </c>
      <c r="BB28">
        <v>1</v>
      </c>
      <c r="BC28">
        <v>5.58</v>
      </c>
      <c r="BD28" t="s">
        <v>3</v>
      </c>
      <c r="BE28" t="s">
        <v>3</v>
      </c>
      <c r="BF28" t="s">
        <v>3</v>
      </c>
      <c r="BG28" t="s">
        <v>3</v>
      </c>
      <c r="BH28">
        <v>3</v>
      </c>
      <c r="BI28">
        <v>1</v>
      </c>
      <c r="BJ28" t="s">
        <v>3</v>
      </c>
      <c r="BM28">
        <v>55</v>
      </c>
      <c r="BN28">
        <v>0</v>
      </c>
      <c r="BO28" t="s">
        <v>3</v>
      </c>
      <c r="BP28">
        <v>0</v>
      </c>
      <c r="BQ28">
        <v>30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 t="s">
        <v>3</v>
      </c>
      <c r="BZ28">
        <v>0</v>
      </c>
      <c r="CA28">
        <v>0</v>
      </c>
      <c r="CE28">
        <v>30</v>
      </c>
      <c r="CF28">
        <v>0</v>
      </c>
      <c r="CG28">
        <v>0</v>
      </c>
      <c r="CM28">
        <v>0</v>
      </c>
      <c r="CN28" t="s">
        <v>3</v>
      </c>
      <c r="CO28">
        <v>0</v>
      </c>
      <c r="CP28">
        <f t="shared" si="31"/>
        <v>703200.53</v>
      </c>
      <c r="CQ28">
        <f t="shared" si="32"/>
        <v>19533.349999999999</v>
      </c>
      <c r="CR28">
        <f t="shared" si="33"/>
        <v>0</v>
      </c>
      <c r="CS28">
        <f t="shared" si="34"/>
        <v>0</v>
      </c>
      <c r="CT28">
        <f t="shared" si="35"/>
        <v>0</v>
      </c>
      <c r="CU28">
        <f t="shared" si="36"/>
        <v>0</v>
      </c>
      <c r="CV28">
        <f t="shared" si="37"/>
        <v>0</v>
      </c>
      <c r="CW28">
        <f t="shared" si="38"/>
        <v>0</v>
      </c>
      <c r="CX28">
        <f t="shared" si="38"/>
        <v>0</v>
      </c>
      <c r="CY28">
        <f t="shared" si="39"/>
        <v>0</v>
      </c>
      <c r="CZ28">
        <f t="shared" si="40"/>
        <v>0</v>
      </c>
      <c r="DC28" t="s">
        <v>3</v>
      </c>
      <c r="DD28" t="s">
        <v>3</v>
      </c>
      <c r="DE28" t="s">
        <v>3</v>
      </c>
      <c r="DF28" t="s">
        <v>3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>
        <v>159</v>
      </c>
      <c r="DO28">
        <v>119</v>
      </c>
      <c r="DP28">
        <v>1</v>
      </c>
      <c r="DQ28">
        <v>1</v>
      </c>
      <c r="DU28">
        <v>1010</v>
      </c>
      <c r="DV28" t="s">
        <v>24</v>
      </c>
      <c r="DW28" t="s">
        <v>24</v>
      </c>
      <c r="DX28">
        <v>1</v>
      </c>
      <c r="EE28">
        <v>44388191</v>
      </c>
      <c r="EF28">
        <v>30</v>
      </c>
      <c r="EG28" t="s">
        <v>18</v>
      </c>
      <c r="EH28">
        <v>0</v>
      </c>
      <c r="EI28" t="s">
        <v>3</v>
      </c>
      <c r="EJ28">
        <v>1</v>
      </c>
      <c r="EK28">
        <v>55</v>
      </c>
      <c r="EL28" t="s">
        <v>19</v>
      </c>
      <c r="EM28" t="s">
        <v>20</v>
      </c>
      <c r="EO28" t="s">
        <v>3</v>
      </c>
      <c r="EQ28">
        <v>0</v>
      </c>
      <c r="ER28">
        <v>19533.330000000002</v>
      </c>
      <c r="ES28">
        <v>3500.6</v>
      </c>
      <c r="ET28">
        <v>0</v>
      </c>
      <c r="EU28">
        <v>0</v>
      </c>
      <c r="EV28">
        <v>0</v>
      </c>
      <c r="EW28">
        <v>0</v>
      </c>
      <c r="EX28">
        <v>0</v>
      </c>
      <c r="EZ28">
        <v>5</v>
      </c>
      <c r="FC28">
        <v>1</v>
      </c>
      <c r="FD28">
        <v>18</v>
      </c>
      <c r="FF28">
        <v>23440</v>
      </c>
      <c r="FQ28">
        <v>0</v>
      </c>
      <c r="FR28">
        <f t="shared" si="41"/>
        <v>0</v>
      </c>
      <c r="FS28">
        <v>0</v>
      </c>
      <c r="FX28">
        <v>159</v>
      </c>
      <c r="FY28">
        <v>119</v>
      </c>
      <c r="GA28" t="s">
        <v>35</v>
      </c>
      <c r="GD28">
        <v>0</v>
      </c>
      <c r="GF28">
        <v>1029990948</v>
      </c>
      <c r="GG28">
        <v>2</v>
      </c>
      <c r="GH28">
        <v>3</v>
      </c>
      <c r="GI28">
        <v>3</v>
      </c>
      <c r="GJ28">
        <v>0</v>
      </c>
      <c r="GK28">
        <f>ROUND(R28*(R12)/100,2)</f>
        <v>0</v>
      </c>
      <c r="GL28">
        <f t="shared" si="42"/>
        <v>0</v>
      </c>
      <c r="GM28">
        <f t="shared" si="43"/>
        <v>703200.53</v>
      </c>
      <c r="GN28">
        <f t="shared" si="44"/>
        <v>703200.53</v>
      </c>
      <c r="GO28">
        <f t="shared" si="45"/>
        <v>0</v>
      </c>
      <c r="GP28">
        <f t="shared" si="46"/>
        <v>0</v>
      </c>
      <c r="GR28">
        <v>1</v>
      </c>
      <c r="GS28">
        <v>1</v>
      </c>
      <c r="GT28">
        <v>0</v>
      </c>
      <c r="GU28" t="s">
        <v>3</v>
      </c>
      <c r="GV28">
        <f t="shared" si="47"/>
        <v>0</v>
      </c>
      <c r="GW28">
        <v>1</v>
      </c>
      <c r="GX28">
        <f t="shared" si="48"/>
        <v>0</v>
      </c>
      <c r="HA28">
        <v>0</v>
      </c>
      <c r="HB28">
        <v>0</v>
      </c>
      <c r="HC28">
        <f t="shared" si="49"/>
        <v>0</v>
      </c>
      <c r="IK28">
        <v>0</v>
      </c>
    </row>
    <row r="29" spans="1:245" x14ac:dyDescent="0.2">
      <c r="A29">
        <v>18</v>
      </c>
      <c r="B29">
        <v>1</v>
      </c>
      <c r="C29">
        <v>11</v>
      </c>
      <c r="E29" t="s">
        <v>36</v>
      </c>
      <c r="F29" t="s">
        <v>22</v>
      </c>
      <c r="G29" t="s">
        <v>37</v>
      </c>
      <c r="H29" t="s">
        <v>24</v>
      </c>
      <c r="I29">
        <f>I27*J29</f>
        <v>30</v>
      </c>
      <c r="J29">
        <v>38.46153846153846</v>
      </c>
      <c r="O29">
        <f t="shared" si="14"/>
        <v>577499.87</v>
      </c>
      <c r="P29">
        <f t="shared" si="15"/>
        <v>577499.87</v>
      </c>
      <c r="Q29">
        <f t="shared" si="16"/>
        <v>0</v>
      </c>
      <c r="R29">
        <f t="shared" si="17"/>
        <v>0</v>
      </c>
      <c r="S29">
        <f t="shared" si="18"/>
        <v>0</v>
      </c>
      <c r="T29">
        <f t="shared" si="19"/>
        <v>0</v>
      </c>
      <c r="U29">
        <f t="shared" si="20"/>
        <v>0</v>
      </c>
      <c r="V29">
        <f t="shared" si="21"/>
        <v>0</v>
      </c>
      <c r="W29">
        <f t="shared" si="22"/>
        <v>0</v>
      </c>
      <c r="X29">
        <f t="shared" si="23"/>
        <v>0</v>
      </c>
      <c r="Y29">
        <f t="shared" si="23"/>
        <v>0</v>
      </c>
      <c r="AA29">
        <v>44887815</v>
      </c>
      <c r="AB29">
        <f t="shared" si="24"/>
        <v>3449.82</v>
      </c>
      <c r="AC29">
        <f t="shared" si="25"/>
        <v>3449.82</v>
      </c>
      <c r="AD29">
        <f t="shared" si="26"/>
        <v>0</v>
      </c>
      <c r="AE29">
        <f t="shared" si="27"/>
        <v>0</v>
      </c>
      <c r="AF29">
        <f t="shared" si="27"/>
        <v>0</v>
      </c>
      <c r="AG29">
        <f t="shared" si="28"/>
        <v>0</v>
      </c>
      <c r="AH29">
        <f t="shared" si="29"/>
        <v>0</v>
      </c>
      <c r="AI29">
        <f t="shared" si="29"/>
        <v>0</v>
      </c>
      <c r="AJ29">
        <f t="shared" si="30"/>
        <v>0</v>
      </c>
      <c r="AK29">
        <v>3449.82</v>
      </c>
      <c r="AL29">
        <v>3449.82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Z29">
        <v>1</v>
      </c>
      <c r="BA29">
        <v>1</v>
      </c>
      <c r="BB29">
        <v>1</v>
      </c>
      <c r="BC29">
        <v>5.58</v>
      </c>
      <c r="BD29" t="s">
        <v>3</v>
      </c>
      <c r="BE29" t="s">
        <v>3</v>
      </c>
      <c r="BF29" t="s">
        <v>3</v>
      </c>
      <c r="BG29" t="s">
        <v>3</v>
      </c>
      <c r="BH29">
        <v>3</v>
      </c>
      <c r="BI29">
        <v>1</v>
      </c>
      <c r="BJ29" t="s">
        <v>3</v>
      </c>
      <c r="BM29">
        <v>55</v>
      </c>
      <c r="BN29">
        <v>0</v>
      </c>
      <c r="BO29" t="s">
        <v>3</v>
      </c>
      <c r="BP29">
        <v>0</v>
      </c>
      <c r="BQ29">
        <v>30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0</v>
      </c>
      <c r="CA29">
        <v>0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31"/>
        <v>577499.87</v>
      </c>
      <c r="CQ29">
        <f t="shared" si="32"/>
        <v>19250</v>
      </c>
      <c r="CR29">
        <f t="shared" si="33"/>
        <v>0</v>
      </c>
      <c r="CS29">
        <f t="shared" si="34"/>
        <v>0</v>
      </c>
      <c r="CT29">
        <f t="shared" si="35"/>
        <v>0</v>
      </c>
      <c r="CU29">
        <f t="shared" si="36"/>
        <v>0</v>
      </c>
      <c r="CV29">
        <f t="shared" si="37"/>
        <v>0</v>
      </c>
      <c r="CW29">
        <f t="shared" si="38"/>
        <v>0</v>
      </c>
      <c r="CX29">
        <f t="shared" si="38"/>
        <v>0</v>
      </c>
      <c r="CY29">
        <f t="shared" si="39"/>
        <v>0</v>
      </c>
      <c r="CZ29">
        <f t="shared" si="40"/>
        <v>0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>
        <v>159</v>
      </c>
      <c r="DO29">
        <v>119</v>
      </c>
      <c r="DP29">
        <v>1</v>
      </c>
      <c r="DQ29">
        <v>1</v>
      </c>
      <c r="DU29">
        <v>1010</v>
      </c>
      <c r="DV29" t="s">
        <v>24</v>
      </c>
      <c r="DW29" t="s">
        <v>24</v>
      </c>
      <c r="DX29">
        <v>1</v>
      </c>
      <c r="EE29">
        <v>44388191</v>
      </c>
      <c r="EF29">
        <v>30</v>
      </c>
      <c r="EG29" t="s">
        <v>18</v>
      </c>
      <c r="EH29">
        <v>0</v>
      </c>
      <c r="EI29" t="s">
        <v>3</v>
      </c>
      <c r="EJ29">
        <v>1</v>
      </c>
      <c r="EK29">
        <v>55</v>
      </c>
      <c r="EL29" t="s">
        <v>19</v>
      </c>
      <c r="EM29" t="s">
        <v>20</v>
      </c>
      <c r="EO29" t="s">
        <v>3</v>
      </c>
      <c r="EQ29">
        <v>0</v>
      </c>
      <c r="ER29">
        <v>19250</v>
      </c>
      <c r="ES29">
        <v>3449.82</v>
      </c>
      <c r="ET29">
        <v>0</v>
      </c>
      <c r="EU29">
        <v>0</v>
      </c>
      <c r="EV29">
        <v>0</v>
      </c>
      <c r="EW29">
        <v>0</v>
      </c>
      <c r="EX29">
        <v>0</v>
      </c>
      <c r="EZ29">
        <v>5</v>
      </c>
      <c r="FC29">
        <v>1</v>
      </c>
      <c r="FD29">
        <v>18</v>
      </c>
      <c r="FF29">
        <v>23100</v>
      </c>
      <c r="FQ29">
        <v>0</v>
      </c>
      <c r="FR29">
        <f t="shared" si="41"/>
        <v>0</v>
      </c>
      <c r="FS29">
        <v>0</v>
      </c>
      <c r="FX29">
        <v>159</v>
      </c>
      <c r="FY29">
        <v>119</v>
      </c>
      <c r="GA29" t="s">
        <v>38</v>
      </c>
      <c r="GD29">
        <v>0</v>
      </c>
      <c r="GF29">
        <v>-213020699</v>
      </c>
      <c r="GG29">
        <v>2</v>
      </c>
      <c r="GH29">
        <v>3</v>
      </c>
      <c r="GI29">
        <v>3</v>
      </c>
      <c r="GJ29">
        <v>0</v>
      </c>
      <c r="GK29">
        <f>ROUND(R29*(R12)/100,2)</f>
        <v>0</v>
      </c>
      <c r="GL29">
        <f t="shared" si="42"/>
        <v>0</v>
      </c>
      <c r="GM29">
        <f t="shared" si="43"/>
        <v>577499.87</v>
      </c>
      <c r="GN29">
        <f t="shared" si="44"/>
        <v>577499.87</v>
      </c>
      <c r="GO29">
        <f t="shared" si="45"/>
        <v>0</v>
      </c>
      <c r="GP29">
        <f t="shared" si="46"/>
        <v>0</v>
      </c>
      <c r="GR29">
        <v>1</v>
      </c>
      <c r="GS29">
        <v>1</v>
      </c>
      <c r="GT29">
        <v>0</v>
      </c>
      <c r="GU29" t="s">
        <v>3</v>
      </c>
      <c r="GV29">
        <f t="shared" si="47"/>
        <v>0</v>
      </c>
      <c r="GW29">
        <v>1</v>
      </c>
      <c r="GX29">
        <f t="shared" si="48"/>
        <v>0</v>
      </c>
      <c r="HA29">
        <v>0</v>
      </c>
      <c r="HB29">
        <v>0</v>
      </c>
      <c r="HC29">
        <f t="shared" si="49"/>
        <v>0</v>
      </c>
      <c r="IK29">
        <v>0</v>
      </c>
    </row>
    <row r="30" spans="1:245" x14ac:dyDescent="0.2">
      <c r="A30">
        <v>18</v>
      </c>
      <c r="B30">
        <v>1</v>
      </c>
      <c r="C30">
        <v>12</v>
      </c>
      <c r="E30" t="s">
        <v>39</v>
      </c>
      <c r="F30" t="s">
        <v>22</v>
      </c>
      <c r="G30" t="s">
        <v>40</v>
      </c>
      <c r="H30" t="s">
        <v>24</v>
      </c>
      <c r="I30">
        <f>I27*J30</f>
        <v>12</v>
      </c>
      <c r="J30">
        <v>15.384615384615383</v>
      </c>
      <c r="O30">
        <f t="shared" si="14"/>
        <v>142000.06</v>
      </c>
      <c r="P30">
        <f t="shared" si="15"/>
        <v>142000.06</v>
      </c>
      <c r="Q30">
        <f t="shared" si="16"/>
        <v>0</v>
      </c>
      <c r="R30">
        <f t="shared" si="17"/>
        <v>0</v>
      </c>
      <c r="S30">
        <f t="shared" si="18"/>
        <v>0</v>
      </c>
      <c r="T30">
        <f t="shared" si="19"/>
        <v>0</v>
      </c>
      <c r="U30">
        <f t="shared" si="20"/>
        <v>0</v>
      </c>
      <c r="V30">
        <f t="shared" si="21"/>
        <v>0</v>
      </c>
      <c r="W30">
        <f t="shared" si="22"/>
        <v>0</v>
      </c>
      <c r="X30">
        <f t="shared" si="23"/>
        <v>0</v>
      </c>
      <c r="Y30">
        <f t="shared" si="23"/>
        <v>0</v>
      </c>
      <c r="AA30">
        <v>44887815</v>
      </c>
      <c r="AB30">
        <f t="shared" si="24"/>
        <v>2120.67</v>
      </c>
      <c r="AC30">
        <f t="shared" si="25"/>
        <v>2120.67</v>
      </c>
      <c r="AD30">
        <f t="shared" si="26"/>
        <v>0</v>
      </c>
      <c r="AE30">
        <f t="shared" si="27"/>
        <v>0</v>
      </c>
      <c r="AF30">
        <f t="shared" si="27"/>
        <v>0</v>
      </c>
      <c r="AG30">
        <f t="shared" si="28"/>
        <v>0</v>
      </c>
      <c r="AH30">
        <f t="shared" si="29"/>
        <v>0</v>
      </c>
      <c r="AI30">
        <f t="shared" si="29"/>
        <v>0</v>
      </c>
      <c r="AJ30">
        <f t="shared" si="30"/>
        <v>0</v>
      </c>
      <c r="AK30">
        <v>2120.67</v>
      </c>
      <c r="AL30">
        <v>2120.67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Z30">
        <v>1</v>
      </c>
      <c r="BA30">
        <v>1</v>
      </c>
      <c r="BB30">
        <v>1</v>
      </c>
      <c r="BC30">
        <v>5.58</v>
      </c>
      <c r="BD30" t="s">
        <v>3</v>
      </c>
      <c r="BE30" t="s">
        <v>3</v>
      </c>
      <c r="BF30" t="s">
        <v>3</v>
      </c>
      <c r="BG30" t="s">
        <v>3</v>
      </c>
      <c r="BH30">
        <v>3</v>
      </c>
      <c r="BI30">
        <v>1</v>
      </c>
      <c r="BJ30" t="s">
        <v>3</v>
      </c>
      <c r="BM30">
        <v>55</v>
      </c>
      <c r="BN30">
        <v>0</v>
      </c>
      <c r="BO30" t="s">
        <v>3</v>
      </c>
      <c r="BP30">
        <v>0</v>
      </c>
      <c r="BQ30">
        <v>30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 t="s">
        <v>3</v>
      </c>
      <c r="BZ30">
        <v>0</v>
      </c>
      <c r="CA30">
        <v>0</v>
      </c>
      <c r="CE30">
        <v>30</v>
      </c>
      <c r="CF30">
        <v>0</v>
      </c>
      <c r="CG30">
        <v>0</v>
      </c>
      <c r="CM30">
        <v>0</v>
      </c>
      <c r="CN30" t="s">
        <v>3</v>
      </c>
      <c r="CO30">
        <v>0</v>
      </c>
      <c r="CP30">
        <f t="shared" si="31"/>
        <v>142000.06</v>
      </c>
      <c r="CQ30">
        <f t="shared" si="32"/>
        <v>11833.34</v>
      </c>
      <c r="CR30">
        <f t="shared" si="33"/>
        <v>0</v>
      </c>
      <c r="CS30">
        <f t="shared" si="34"/>
        <v>0</v>
      </c>
      <c r="CT30">
        <f t="shared" si="35"/>
        <v>0</v>
      </c>
      <c r="CU30">
        <f t="shared" si="36"/>
        <v>0</v>
      </c>
      <c r="CV30">
        <f t="shared" si="37"/>
        <v>0</v>
      </c>
      <c r="CW30">
        <f t="shared" si="38"/>
        <v>0</v>
      </c>
      <c r="CX30">
        <f t="shared" si="38"/>
        <v>0</v>
      </c>
      <c r="CY30">
        <f t="shared" si="39"/>
        <v>0</v>
      </c>
      <c r="CZ30">
        <f t="shared" si="40"/>
        <v>0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>
        <v>159</v>
      </c>
      <c r="DO30">
        <v>119</v>
      </c>
      <c r="DP30">
        <v>1</v>
      </c>
      <c r="DQ30">
        <v>1</v>
      </c>
      <c r="DU30">
        <v>1010</v>
      </c>
      <c r="DV30" t="s">
        <v>24</v>
      </c>
      <c r="DW30" t="s">
        <v>24</v>
      </c>
      <c r="DX30">
        <v>1</v>
      </c>
      <c r="EE30">
        <v>44388191</v>
      </c>
      <c r="EF30">
        <v>30</v>
      </c>
      <c r="EG30" t="s">
        <v>18</v>
      </c>
      <c r="EH30">
        <v>0</v>
      </c>
      <c r="EI30" t="s">
        <v>3</v>
      </c>
      <c r="EJ30">
        <v>1</v>
      </c>
      <c r="EK30">
        <v>55</v>
      </c>
      <c r="EL30" t="s">
        <v>19</v>
      </c>
      <c r="EM30" t="s">
        <v>20</v>
      </c>
      <c r="EO30" t="s">
        <v>3</v>
      </c>
      <c r="EQ30">
        <v>0</v>
      </c>
      <c r="ER30">
        <v>11833.33</v>
      </c>
      <c r="ES30">
        <v>2120.67</v>
      </c>
      <c r="ET30">
        <v>0</v>
      </c>
      <c r="EU30">
        <v>0</v>
      </c>
      <c r="EV30">
        <v>0</v>
      </c>
      <c r="EW30">
        <v>0</v>
      </c>
      <c r="EX30">
        <v>0</v>
      </c>
      <c r="EZ30">
        <v>5</v>
      </c>
      <c r="FC30">
        <v>1</v>
      </c>
      <c r="FD30">
        <v>18</v>
      </c>
      <c r="FF30">
        <v>14200</v>
      </c>
      <c r="FQ30">
        <v>0</v>
      </c>
      <c r="FR30">
        <f t="shared" si="41"/>
        <v>0</v>
      </c>
      <c r="FS30">
        <v>0</v>
      </c>
      <c r="FX30">
        <v>159</v>
      </c>
      <c r="FY30">
        <v>119</v>
      </c>
      <c r="GA30" t="s">
        <v>41</v>
      </c>
      <c r="GD30">
        <v>0</v>
      </c>
      <c r="GF30">
        <v>1468371780</v>
      </c>
      <c r="GG30">
        <v>2</v>
      </c>
      <c r="GH30">
        <v>3</v>
      </c>
      <c r="GI30">
        <v>3</v>
      </c>
      <c r="GJ30">
        <v>0</v>
      </c>
      <c r="GK30">
        <f>ROUND(R30*(R12)/100,2)</f>
        <v>0</v>
      </c>
      <c r="GL30">
        <f t="shared" si="42"/>
        <v>0</v>
      </c>
      <c r="GM30">
        <f t="shared" si="43"/>
        <v>142000.06</v>
      </c>
      <c r="GN30">
        <f t="shared" si="44"/>
        <v>142000.06</v>
      </c>
      <c r="GO30">
        <f t="shared" si="45"/>
        <v>0</v>
      </c>
      <c r="GP30">
        <f t="shared" si="46"/>
        <v>0</v>
      </c>
      <c r="GR30">
        <v>1</v>
      </c>
      <c r="GS30">
        <v>1</v>
      </c>
      <c r="GT30">
        <v>0</v>
      </c>
      <c r="GU30" t="s">
        <v>3</v>
      </c>
      <c r="GV30">
        <f t="shared" si="47"/>
        <v>0</v>
      </c>
      <c r="GW30">
        <v>1</v>
      </c>
      <c r="GX30">
        <f t="shared" si="48"/>
        <v>0</v>
      </c>
      <c r="HA30">
        <v>0</v>
      </c>
      <c r="HB30">
        <v>0</v>
      </c>
      <c r="HC30">
        <f t="shared" si="49"/>
        <v>0</v>
      </c>
      <c r="IK30">
        <v>0</v>
      </c>
    </row>
    <row r="32" spans="1:245" x14ac:dyDescent="0.2">
      <c r="A32" s="2">
        <v>51</v>
      </c>
      <c r="B32" s="2">
        <f>B20</f>
        <v>1</v>
      </c>
      <c r="C32" s="2">
        <f>A20</f>
        <v>3</v>
      </c>
      <c r="D32" s="2">
        <f>ROW(A20)</f>
        <v>20</v>
      </c>
      <c r="E32" s="2"/>
      <c r="F32" s="2" t="str">
        <f>IF(F20&lt;&gt;"",F20,"")</f>
        <v>Новая локальная смета</v>
      </c>
      <c r="G32" s="2" t="str">
        <f>IF(G20&lt;&gt;"",G20,"")</f>
        <v>Новая локальная смета</v>
      </c>
      <c r="H32" s="2">
        <v>0</v>
      </c>
      <c r="I32" s="2"/>
      <c r="J32" s="2"/>
      <c r="K32" s="2"/>
      <c r="L32" s="2"/>
      <c r="M32" s="2"/>
      <c r="N32" s="2"/>
      <c r="O32" s="2">
        <f t="shared" ref="O32:T32" si="50">ROUND(AB32,2)</f>
        <v>2254886.98</v>
      </c>
      <c r="P32" s="2">
        <f t="shared" si="50"/>
        <v>2241244.85</v>
      </c>
      <c r="Q32" s="2">
        <f t="shared" si="50"/>
        <v>739.84</v>
      </c>
      <c r="R32" s="2">
        <f t="shared" si="50"/>
        <v>0</v>
      </c>
      <c r="S32" s="2">
        <f t="shared" si="50"/>
        <v>12902.29</v>
      </c>
      <c r="T32" s="2">
        <f t="shared" si="50"/>
        <v>0</v>
      </c>
      <c r="U32" s="2">
        <f>AH32</f>
        <v>43.722000000000001</v>
      </c>
      <c r="V32" s="2">
        <f>AI32</f>
        <v>0</v>
      </c>
      <c r="W32" s="2">
        <f>ROUND(AJ32,2)</f>
        <v>0</v>
      </c>
      <c r="X32" s="2">
        <f>ROUND(AK32,2)</f>
        <v>15998.84</v>
      </c>
      <c r="Y32" s="2">
        <f>ROUND(AL32,2)</f>
        <v>7225.29</v>
      </c>
      <c r="Z32" s="2"/>
      <c r="AA32" s="2"/>
      <c r="AB32" s="2">
        <f>ROUND(SUMIF(AA24:AA30,"=44887815",O24:O30),2)</f>
        <v>2254886.98</v>
      </c>
      <c r="AC32" s="2">
        <f>ROUND(SUMIF(AA24:AA30,"=44887815",P24:P30),2)</f>
        <v>2241244.85</v>
      </c>
      <c r="AD32" s="2">
        <f>ROUND(SUMIF(AA24:AA30,"=44887815",Q24:Q30),2)</f>
        <v>739.84</v>
      </c>
      <c r="AE32" s="2">
        <f>ROUND(SUMIF(AA24:AA30,"=44887815",R24:R30),2)</f>
        <v>0</v>
      </c>
      <c r="AF32" s="2">
        <f>ROUND(SUMIF(AA24:AA30,"=44887815",S24:S30),2)</f>
        <v>12902.29</v>
      </c>
      <c r="AG32" s="2">
        <f>ROUND(SUMIF(AA24:AA30,"=44887815",T24:T30),2)</f>
        <v>0</v>
      </c>
      <c r="AH32" s="2">
        <f>SUMIF(AA24:AA30,"=44887815",U24:U30)</f>
        <v>43.722000000000001</v>
      </c>
      <c r="AI32" s="2">
        <f>SUMIF(AA24:AA30,"=44887815",V24:V30)</f>
        <v>0</v>
      </c>
      <c r="AJ32" s="2">
        <f>ROUND(SUMIF(AA24:AA30,"=44887815",W24:W30),2)</f>
        <v>0</v>
      </c>
      <c r="AK32" s="2">
        <f>ROUND(SUMIF(AA24:AA30,"=44887815",X24:X30),2)</f>
        <v>15998.84</v>
      </c>
      <c r="AL32" s="2">
        <f>ROUND(SUMIF(AA24:AA30,"=44887815",Y24:Y30),2)</f>
        <v>7225.29</v>
      </c>
      <c r="AM32" s="2"/>
      <c r="AN32" s="2"/>
      <c r="AO32" s="2">
        <f t="shared" ref="AO32:BD32" si="51">ROUND(BX32,2)</f>
        <v>0</v>
      </c>
      <c r="AP32" s="2">
        <f t="shared" si="51"/>
        <v>0</v>
      </c>
      <c r="AQ32" s="2">
        <f t="shared" si="51"/>
        <v>0</v>
      </c>
      <c r="AR32" s="2">
        <f t="shared" si="51"/>
        <v>2278111.11</v>
      </c>
      <c r="AS32" s="2">
        <f t="shared" si="51"/>
        <v>2278111.11</v>
      </c>
      <c r="AT32" s="2">
        <f t="shared" si="51"/>
        <v>0</v>
      </c>
      <c r="AU32" s="2">
        <f t="shared" si="51"/>
        <v>0</v>
      </c>
      <c r="AV32" s="2">
        <f t="shared" si="51"/>
        <v>2241244.85</v>
      </c>
      <c r="AW32" s="2">
        <f t="shared" si="51"/>
        <v>2241244.85</v>
      </c>
      <c r="AX32" s="2">
        <f t="shared" si="51"/>
        <v>0</v>
      </c>
      <c r="AY32" s="2">
        <f t="shared" si="51"/>
        <v>2241244.85</v>
      </c>
      <c r="AZ32" s="2">
        <f t="shared" si="51"/>
        <v>0</v>
      </c>
      <c r="BA32" s="2">
        <f t="shared" si="51"/>
        <v>0</v>
      </c>
      <c r="BB32" s="2">
        <f t="shared" si="51"/>
        <v>0</v>
      </c>
      <c r="BC32" s="2">
        <f t="shared" si="51"/>
        <v>0</v>
      </c>
      <c r="BD32" s="2">
        <f t="shared" si="51"/>
        <v>0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>
        <f>ROUND(SUMIF(AA24:AA30,"=44887815",FQ24:FQ30),2)</f>
        <v>0</v>
      </c>
      <c r="BY32" s="2">
        <f>ROUND(SUMIF(AA24:AA30,"=44887815",FR24:FR30),2)</f>
        <v>0</v>
      </c>
      <c r="BZ32" s="2">
        <f>ROUND(SUMIF(AA24:AA30,"=44887815",GL24:GL30),2)</f>
        <v>0</v>
      </c>
      <c r="CA32" s="2">
        <f>ROUND(SUMIF(AA24:AA30,"=44887815",GM24:GM30),2)</f>
        <v>2278111.11</v>
      </c>
      <c r="CB32" s="2">
        <f>ROUND(SUMIF(AA24:AA30,"=44887815",GN24:GN30),2)</f>
        <v>2278111.11</v>
      </c>
      <c r="CC32" s="2">
        <f>ROUND(SUMIF(AA24:AA30,"=44887815",GO24:GO30),2)</f>
        <v>0</v>
      </c>
      <c r="CD32" s="2">
        <f>ROUND(SUMIF(AA24:AA30,"=44887815",GP24:GP30),2)</f>
        <v>0</v>
      </c>
      <c r="CE32" s="2">
        <f>AC32-BX32</f>
        <v>2241244.85</v>
      </c>
      <c r="CF32" s="2">
        <f>AC32-BY32</f>
        <v>2241244.85</v>
      </c>
      <c r="CG32" s="2">
        <f>BX32-BZ32</f>
        <v>0</v>
      </c>
      <c r="CH32" s="2">
        <f>AC32-BX32-BY32+BZ32</f>
        <v>2241244.85</v>
      </c>
      <c r="CI32" s="2">
        <f>BY32-BZ32</f>
        <v>0</v>
      </c>
      <c r="CJ32" s="2">
        <f>ROUND(SUMIF(AA24:AA30,"=44887815",GX24:GX30),2)</f>
        <v>0</v>
      </c>
      <c r="CK32" s="2">
        <f>ROUND(SUMIF(AA24:AA30,"=44887815",GY24:GY30),2)</f>
        <v>0</v>
      </c>
      <c r="CL32" s="2">
        <f>ROUND(SUMIF(AA24:AA30,"=44887815",GZ24:GZ30),2)</f>
        <v>0</v>
      </c>
      <c r="CM32" s="2">
        <f>ROUND(SUMIF(AA24:AA30,"=44887815",HD24:HD30),2)</f>
        <v>0</v>
      </c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>
        <v>0</v>
      </c>
    </row>
    <row r="34" spans="1:23" x14ac:dyDescent="0.2">
      <c r="A34" s="4">
        <v>50</v>
      </c>
      <c r="B34" s="4">
        <v>0</v>
      </c>
      <c r="C34" s="4">
        <v>0</v>
      </c>
      <c r="D34" s="4">
        <v>1</v>
      </c>
      <c r="E34" s="4">
        <v>201</v>
      </c>
      <c r="F34" s="4">
        <f>ROUND(Source!O32,O34)</f>
        <v>2254886.98</v>
      </c>
      <c r="G34" s="4" t="s">
        <v>42</v>
      </c>
      <c r="H34" s="4" t="s">
        <v>43</v>
      </c>
      <c r="I34" s="4"/>
      <c r="J34" s="4"/>
      <c r="K34" s="4">
        <v>201</v>
      </c>
      <c r="L34" s="4">
        <v>1</v>
      </c>
      <c r="M34" s="4">
        <v>3</v>
      </c>
      <c r="N34" s="4" t="s">
        <v>3</v>
      </c>
      <c r="O34" s="4">
        <v>2</v>
      </c>
      <c r="P34" s="4"/>
      <c r="Q34" s="4"/>
      <c r="R34" s="4"/>
      <c r="S34" s="4"/>
      <c r="T34" s="4"/>
      <c r="U34" s="4"/>
      <c r="V34" s="4"/>
      <c r="W34" s="4"/>
    </row>
    <row r="35" spans="1:23" x14ac:dyDescent="0.2">
      <c r="A35" s="4">
        <v>50</v>
      </c>
      <c r="B35" s="4">
        <v>0</v>
      </c>
      <c r="C35" s="4">
        <v>0</v>
      </c>
      <c r="D35" s="4">
        <v>1</v>
      </c>
      <c r="E35" s="4">
        <v>202</v>
      </c>
      <c r="F35" s="4">
        <f>ROUND(Source!P32,O35)</f>
        <v>2241244.85</v>
      </c>
      <c r="G35" s="4" t="s">
        <v>44</v>
      </c>
      <c r="H35" s="4" t="s">
        <v>45</v>
      </c>
      <c r="I35" s="4"/>
      <c r="J35" s="4"/>
      <c r="K35" s="4">
        <v>202</v>
      </c>
      <c r="L35" s="4">
        <v>2</v>
      </c>
      <c r="M35" s="4">
        <v>3</v>
      </c>
      <c r="N35" s="4" t="s">
        <v>3</v>
      </c>
      <c r="O35" s="4">
        <v>2</v>
      </c>
      <c r="P35" s="4"/>
      <c r="Q35" s="4"/>
      <c r="R35" s="4"/>
      <c r="S35" s="4"/>
      <c r="T35" s="4"/>
      <c r="U35" s="4"/>
      <c r="V35" s="4"/>
      <c r="W35" s="4"/>
    </row>
    <row r="36" spans="1:23" x14ac:dyDescent="0.2">
      <c r="A36" s="4">
        <v>50</v>
      </c>
      <c r="B36" s="4">
        <v>0</v>
      </c>
      <c r="C36" s="4">
        <v>0</v>
      </c>
      <c r="D36" s="4">
        <v>1</v>
      </c>
      <c r="E36" s="4">
        <v>222</v>
      </c>
      <c r="F36" s="4">
        <f>ROUND(Source!AO32,O36)</f>
        <v>0</v>
      </c>
      <c r="G36" s="4" t="s">
        <v>46</v>
      </c>
      <c r="H36" s="4" t="s">
        <v>47</v>
      </c>
      <c r="I36" s="4"/>
      <c r="J36" s="4"/>
      <c r="K36" s="4">
        <v>222</v>
      </c>
      <c r="L36" s="4">
        <v>3</v>
      </c>
      <c r="M36" s="4">
        <v>3</v>
      </c>
      <c r="N36" s="4" t="s">
        <v>3</v>
      </c>
      <c r="O36" s="4">
        <v>2</v>
      </c>
      <c r="P36" s="4"/>
      <c r="Q36" s="4"/>
      <c r="R36" s="4"/>
      <c r="S36" s="4"/>
      <c r="T36" s="4"/>
      <c r="U36" s="4"/>
      <c r="V36" s="4"/>
      <c r="W36" s="4"/>
    </row>
    <row r="37" spans="1:23" x14ac:dyDescent="0.2">
      <c r="A37" s="4">
        <v>50</v>
      </c>
      <c r="B37" s="4">
        <v>0</v>
      </c>
      <c r="C37" s="4">
        <v>0</v>
      </c>
      <c r="D37" s="4">
        <v>1</v>
      </c>
      <c r="E37" s="4">
        <v>225</v>
      </c>
      <c r="F37" s="4">
        <f>ROUND(Source!AV32,O37)</f>
        <v>2241244.85</v>
      </c>
      <c r="G37" s="4" t="s">
        <v>48</v>
      </c>
      <c r="H37" s="4" t="s">
        <v>49</v>
      </c>
      <c r="I37" s="4"/>
      <c r="J37" s="4"/>
      <c r="K37" s="4">
        <v>225</v>
      </c>
      <c r="L37" s="4">
        <v>4</v>
      </c>
      <c r="M37" s="4">
        <v>3</v>
      </c>
      <c r="N37" s="4" t="s">
        <v>3</v>
      </c>
      <c r="O37" s="4">
        <v>2</v>
      </c>
      <c r="P37" s="4"/>
      <c r="Q37" s="4"/>
      <c r="R37" s="4"/>
      <c r="S37" s="4"/>
      <c r="T37" s="4"/>
      <c r="U37" s="4"/>
      <c r="V37" s="4"/>
      <c r="W37" s="4"/>
    </row>
    <row r="38" spans="1:23" x14ac:dyDescent="0.2">
      <c r="A38" s="4">
        <v>50</v>
      </c>
      <c r="B38" s="4">
        <v>0</v>
      </c>
      <c r="C38" s="4">
        <v>0</v>
      </c>
      <c r="D38" s="4">
        <v>1</v>
      </c>
      <c r="E38" s="4">
        <v>226</v>
      </c>
      <c r="F38" s="4">
        <f>ROUND(Source!AW32,O38)</f>
        <v>2241244.85</v>
      </c>
      <c r="G38" s="4" t="s">
        <v>50</v>
      </c>
      <c r="H38" s="4" t="s">
        <v>51</v>
      </c>
      <c r="I38" s="4"/>
      <c r="J38" s="4"/>
      <c r="K38" s="4">
        <v>226</v>
      </c>
      <c r="L38" s="4">
        <v>5</v>
      </c>
      <c r="M38" s="4">
        <v>3</v>
      </c>
      <c r="N38" s="4" t="s">
        <v>3</v>
      </c>
      <c r="O38" s="4">
        <v>2</v>
      </c>
      <c r="P38" s="4"/>
      <c r="Q38" s="4"/>
      <c r="R38" s="4"/>
      <c r="S38" s="4"/>
      <c r="T38" s="4"/>
      <c r="U38" s="4"/>
      <c r="V38" s="4"/>
      <c r="W38" s="4"/>
    </row>
    <row r="39" spans="1:23" x14ac:dyDescent="0.2">
      <c r="A39" s="4">
        <v>50</v>
      </c>
      <c r="B39" s="4">
        <v>0</v>
      </c>
      <c r="C39" s="4">
        <v>0</v>
      </c>
      <c r="D39" s="4">
        <v>1</v>
      </c>
      <c r="E39" s="4">
        <v>227</v>
      </c>
      <c r="F39" s="4">
        <f>ROUND(Source!AX32,O39)</f>
        <v>0</v>
      </c>
      <c r="G39" s="4" t="s">
        <v>52</v>
      </c>
      <c r="H39" s="4" t="s">
        <v>53</v>
      </c>
      <c r="I39" s="4"/>
      <c r="J39" s="4"/>
      <c r="K39" s="4">
        <v>227</v>
      </c>
      <c r="L39" s="4">
        <v>6</v>
      </c>
      <c r="M39" s="4">
        <v>3</v>
      </c>
      <c r="N39" s="4" t="s">
        <v>3</v>
      </c>
      <c r="O39" s="4">
        <v>2</v>
      </c>
      <c r="P39" s="4"/>
      <c r="Q39" s="4"/>
      <c r="R39" s="4"/>
      <c r="S39" s="4"/>
      <c r="T39" s="4"/>
      <c r="U39" s="4"/>
      <c r="V39" s="4"/>
      <c r="W39" s="4"/>
    </row>
    <row r="40" spans="1:23" x14ac:dyDescent="0.2">
      <c r="A40" s="4">
        <v>50</v>
      </c>
      <c r="B40" s="4">
        <v>0</v>
      </c>
      <c r="C40" s="4">
        <v>0</v>
      </c>
      <c r="D40" s="4">
        <v>1</v>
      </c>
      <c r="E40" s="4">
        <v>228</v>
      </c>
      <c r="F40" s="4">
        <f>ROUND(Source!AY32,O40)</f>
        <v>2241244.85</v>
      </c>
      <c r="G40" s="4" t="s">
        <v>54</v>
      </c>
      <c r="H40" s="4" t="s">
        <v>55</v>
      </c>
      <c r="I40" s="4"/>
      <c r="J40" s="4"/>
      <c r="K40" s="4">
        <v>228</v>
      </c>
      <c r="L40" s="4">
        <v>7</v>
      </c>
      <c r="M40" s="4">
        <v>3</v>
      </c>
      <c r="N40" s="4" t="s">
        <v>3</v>
      </c>
      <c r="O40" s="4">
        <v>2</v>
      </c>
      <c r="P40" s="4"/>
      <c r="Q40" s="4"/>
      <c r="R40" s="4"/>
      <c r="S40" s="4"/>
      <c r="T40" s="4"/>
      <c r="U40" s="4"/>
      <c r="V40" s="4"/>
      <c r="W40" s="4"/>
    </row>
    <row r="41" spans="1:23" x14ac:dyDescent="0.2">
      <c r="A41" s="4">
        <v>50</v>
      </c>
      <c r="B41" s="4">
        <v>0</v>
      </c>
      <c r="C41" s="4">
        <v>0</v>
      </c>
      <c r="D41" s="4">
        <v>1</v>
      </c>
      <c r="E41" s="4">
        <v>216</v>
      </c>
      <c r="F41" s="4">
        <f>ROUND(Source!AP32,O41)</f>
        <v>0</v>
      </c>
      <c r="G41" s="4" t="s">
        <v>56</v>
      </c>
      <c r="H41" s="4" t="s">
        <v>57</v>
      </c>
      <c r="I41" s="4"/>
      <c r="J41" s="4"/>
      <c r="K41" s="4">
        <v>216</v>
      </c>
      <c r="L41" s="4">
        <v>8</v>
      </c>
      <c r="M41" s="4">
        <v>3</v>
      </c>
      <c r="N41" s="4" t="s">
        <v>3</v>
      </c>
      <c r="O41" s="4">
        <v>2</v>
      </c>
      <c r="P41" s="4"/>
      <c r="Q41" s="4"/>
      <c r="R41" s="4"/>
      <c r="S41" s="4"/>
      <c r="T41" s="4"/>
      <c r="U41" s="4"/>
      <c r="V41" s="4"/>
      <c r="W41" s="4"/>
    </row>
    <row r="42" spans="1:23" x14ac:dyDescent="0.2">
      <c r="A42" s="4">
        <v>50</v>
      </c>
      <c r="B42" s="4">
        <v>0</v>
      </c>
      <c r="C42" s="4">
        <v>0</v>
      </c>
      <c r="D42" s="4">
        <v>1</v>
      </c>
      <c r="E42" s="4">
        <v>223</v>
      </c>
      <c r="F42" s="4">
        <f>ROUND(Source!AQ32,O42)</f>
        <v>0</v>
      </c>
      <c r="G42" s="4" t="s">
        <v>58</v>
      </c>
      <c r="H42" s="4" t="s">
        <v>59</v>
      </c>
      <c r="I42" s="4"/>
      <c r="J42" s="4"/>
      <c r="K42" s="4">
        <v>223</v>
      </c>
      <c r="L42" s="4">
        <v>9</v>
      </c>
      <c r="M42" s="4">
        <v>3</v>
      </c>
      <c r="N42" s="4" t="s">
        <v>3</v>
      </c>
      <c r="O42" s="4">
        <v>2</v>
      </c>
      <c r="P42" s="4"/>
      <c r="Q42" s="4"/>
      <c r="R42" s="4"/>
      <c r="S42" s="4"/>
      <c r="T42" s="4"/>
      <c r="U42" s="4"/>
      <c r="V42" s="4"/>
      <c r="W42" s="4"/>
    </row>
    <row r="43" spans="1:23" x14ac:dyDescent="0.2">
      <c r="A43" s="4">
        <v>50</v>
      </c>
      <c r="B43" s="4">
        <v>0</v>
      </c>
      <c r="C43" s="4">
        <v>0</v>
      </c>
      <c r="D43" s="4">
        <v>1</v>
      </c>
      <c r="E43" s="4">
        <v>229</v>
      </c>
      <c r="F43" s="4">
        <f>ROUND(Source!AZ32,O43)</f>
        <v>0</v>
      </c>
      <c r="G43" s="4" t="s">
        <v>60</v>
      </c>
      <c r="H43" s="4" t="s">
        <v>61</v>
      </c>
      <c r="I43" s="4"/>
      <c r="J43" s="4"/>
      <c r="K43" s="4">
        <v>229</v>
      </c>
      <c r="L43" s="4">
        <v>10</v>
      </c>
      <c r="M43" s="4">
        <v>3</v>
      </c>
      <c r="N43" s="4" t="s">
        <v>3</v>
      </c>
      <c r="O43" s="4">
        <v>2</v>
      </c>
      <c r="P43" s="4"/>
      <c r="Q43" s="4"/>
      <c r="R43" s="4"/>
      <c r="S43" s="4"/>
      <c r="T43" s="4"/>
      <c r="U43" s="4"/>
      <c r="V43" s="4"/>
      <c r="W43" s="4"/>
    </row>
    <row r="44" spans="1:23" x14ac:dyDescent="0.2">
      <c r="A44" s="4">
        <v>50</v>
      </c>
      <c r="B44" s="4">
        <v>0</v>
      </c>
      <c r="C44" s="4">
        <v>0</v>
      </c>
      <c r="D44" s="4">
        <v>1</v>
      </c>
      <c r="E44" s="4">
        <v>203</v>
      </c>
      <c r="F44" s="4">
        <f>ROUND(Source!Q32,O44)</f>
        <v>739.84</v>
      </c>
      <c r="G44" s="4" t="s">
        <v>62</v>
      </c>
      <c r="H44" s="4" t="s">
        <v>63</v>
      </c>
      <c r="I44" s="4"/>
      <c r="J44" s="4"/>
      <c r="K44" s="4">
        <v>203</v>
      </c>
      <c r="L44" s="4">
        <v>11</v>
      </c>
      <c r="M44" s="4">
        <v>3</v>
      </c>
      <c r="N44" s="4" t="s">
        <v>3</v>
      </c>
      <c r="O44" s="4">
        <v>2</v>
      </c>
      <c r="P44" s="4"/>
      <c r="Q44" s="4"/>
      <c r="R44" s="4"/>
      <c r="S44" s="4"/>
      <c r="T44" s="4"/>
      <c r="U44" s="4"/>
      <c r="V44" s="4"/>
      <c r="W44" s="4"/>
    </row>
    <row r="45" spans="1:23" x14ac:dyDescent="0.2">
      <c r="A45" s="4">
        <v>50</v>
      </c>
      <c r="B45" s="4">
        <v>0</v>
      </c>
      <c r="C45" s="4">
        <v>0</v>
      </c>
      <c r="D45" s="4">
        <v>1</v>
      </c>
      <c r="E45" s="4">
        <v>231</v>
      </c>
      <c r="F45" s="4">
        <f>ROUND(Source!BB32,O45)</f>
        <v>0</v>
      </c>
      <c r="G45" s="4" t="s">
        <v>64</v>
      </c>
      <c r="H45" s="4" t="s">
        <v>65</v>
      </c>
      <c r="I45" s="4"/>
      <c r="J45" s="4"/>
      <c r="K45" s="4">
        <v>231</v>
      </c>
      <c r="L45" s="4">
        <v>12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/>
    </row>
    <row r="46" spans="1:23" x14ac:dyDescent="0.2">
      <c r="A46" s="4">
        <v>50</v>
      </c>
      <c r="B46" s="4">
        <v>0</v>
      </c>
      <c r="C46" s="4">
        <v>0</v>
      </c>
      <c r="D46" s="4">
        <v>1</v>
      </c>
      <c r="E46" s="4">
        <v>204</v>
      </c>
      <c r="F46" s="4">
        <f>ROUND(Source!R32,O46)</f>
        <v>0</v>
      </c>
      <c r="G46" s="4" t="s">
        <v>66</v>
      </c>
      <c r="H46" s="4" t="s">
        <v>67</v>
      </c>
      <c r="I46" s="4"/>
      <c r="J46" s="4"/>
      <c r="K46" s="4">
        <v>204</v>
      </c>
      <c r="L46" s="4">
        <v>13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/>
    </row>
    <row r="47" spans="1:23" x14ac:dyDescent="0.2">
      <c r="A47" s="4">
        <v>50</v>
      </c>
      <c r="B47" s="4">
        <v>0</v>
      </c>
      <c r="C47" s="4">
        <v>0</v>
      </c>
      <c r="D47" s="4">
        <v>1</v>
      </c>
      <c r="E47" s="4">
        <v>205</v>
      </c>
      <c r="F47" s="4">
        <f>ROUND(Source!S32,O47)</f>
        <v>12902.29</v>
      </c>
      <c r="G47" s="4" t="s">
        <v>68</v>
      </c>
      <c r="H47" s="4" t="s">
        <v>69</v>
      </c>
      <c r="I47" s="4"/>
      <c r="J47" s="4"/>
      <c r="K47" s="4">
        <v>205</v>
      </c>
      <c r="L47" s="4">
        <v>14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/>
    </row>
    <row r="48" spans="1:23" x14ac:dyDescent="0.2">
      <c r="A48" s="4">
        <v>50</v>
      </c>
      <c r="B48" s="4">
        <v>0</v>
      </c>
      <c r="C48" s="4">
        <v>0</v>
      </c>
      <c r="D48" s="4">
        <v>1</v>
      </c>
      <c r="E48" s="4">
        <v>232</v>
      </c>
      <c r="F48" s="4">
        <f>ROUND(Source!BC32,O48)</f>
        <v>0</v>
      </c>
      <c r="G48" s="4" t="s">
        <v>70</v>
      </c>
      <c r="H48" s="4" t="s">
        <v>71</v>
      </c>
      <c r="I48" s="4"/>
      <c r="J48" s="4"/>
      <c r="K48" s="4">
        <v>232</v>
      </c>
      <c r="L48" s="4">
        <v>15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/>
    </row>
    <row r="49" spans="1:206" x14ac:dyDescent="0.2">
      <c r="A49" s="4">
        <v>50</v>
      </c>
      <c r="B49" s="4">
        <v>0</v>
      </c>
      <c r="C49" s="4">
        <v>0</v>
      </c>
      <c r="D49" s="4">
        <v>1</v>
      </c>
      <c r="E49" s="4">
        <v>214</v>
      </c>
      <c r="F49" s="4">
        <f>ROUND(Source!AS32,O49)</f>
        <v>2278111.11</v>
      </c>
      <c r="G49" s="4" t="s">
        <v>72</v>
      </c>
      <c r="H49" s="4" t="s">
        <v>73</v>
      </c>
      <c r="I49" s="4"/>
      <c r="J49" s="4"/>
      <c r="K49" s="4">
        <v>214</v>
      </c>
      <c r="L49" s="4">
        <v>16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/>
    </row>
    <row r="50" spans="1:206" x14ac:dyDescent="0.2">
      <c r="A50" s="4">
        <v>50</v>
      </c>
      <c r="B50" s="4">
        <v>0</v>
      </c>
      <c r="C50" s="4">
        <v>0</v>
      </c>
      <c r="D50" s="4">
        <v>1</v>
      </c>
      <c r="E50" s="4">
        <v>215</v>
      </c>
      <c r="F50" s="4">
        <f>ROUND(Source!AT32,O50)</f>
        <v>0</v>
      </c>
      <c r="G50" s="4" t="s">
        <v>74</v>
      </c>
      <c r="H50" s="4" t="s">
        <v>75</v>
      </c>
      <c r="I50" s="4"/>
      <c r="J50" s="4"/>
      <c r="K50" s="4">
        <v>215</v>
      </c>
      <c r="L50" s="4">
        <v>17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/>
    </row>
    <row r="51" spans="1:206" x14ac:dyDescent="0.2">
      <c r="A51" s="4">
        <v>50</v>
      </c>
      <c r="B51" s="4">
        <v>0</v>
      </c>
      <c r="C51" s="4">
        <v>0</v>
      </c>
      <c r="D51" s="4">
        <v>1</v>
      </c>
      <c r="E51" s="4">
        <v>217</v>
      </c>
      <c r="F51" s="4">
        <f>ROUND(Source!AU32,O51)</f>
        <v>0</v>
      </c>
      <c r="G51" s="4" t="s">
        <v>76</v>
      </c>
      <c r="H51" s="4" t="s">
        <v>77</v>
      </c>
      <c r="I51" s="4"/>
      <c r="J51" s="4"/>
      <c r="K51" s="4">
        <v>217</v>
      </c>
      <c r="L51" s="4">
        <v>18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/>
    </row>
    <row r="52" spans="1:206" x14ac:dyDescent="0.2">
      <c r="A52" s="4">
        <v>50</v>
      </c>
      <c r="B52" s="4">
        <v>0</v>
      </c>
      <c r="C52" s="4">
        <v>0</v>
      </c>
      <c r="D52" s="4">
        <v>1</v>
      </c>
      <c r="E52" s="4">
        <v>230</v>
      </c>
      <c r="F52" s="4">
        <f>ROUND(Source!BA32,O52)</f>
        <v>0</v>
      </c>
      <c r="G52" s="4" t="s">
        <v>78</v>
      </c>
      <c r="H52" s="4" t="s">
        <v>79</v>
      </c>
      <c r="I52" s="4"/>
      <c r="J52" s="4"/>
      <c r="K52" s="4">
        <v>230</v>
      </c>
      <c r="L52" s="4">
        <v>19</v>
      </c>
      <c r="M52" s="4">
        <v>3</v>
      </c>
      <c r="N52" s="4" t="s">
        <v>3</v>
      </c>
      <c r="O52" s="4">
        <v>2</v>
      </c>
      <c r="P52" s="4"/>
      <c r="Q52" s="4"/>
      <c r="R52" s="4"/>
      <c r="S52" s="4"/>
      <c r="T52" s="4"/>
      <c r="U52" s="4"/>
      <c r="V52" s="4"/>
      <c r="W52" s="4"/>
    </row>
    <row r="53" spans="1:206" x14ac:dyDescent="0.2">
      <c r="A53" s="4">
        <v>50</v>
      </c>
      <c r="B53" s="4">
        <v>0</v>
      </c>
      <c r="C53" s="4">
        <v>0</v>
      </c>
      <c r="D53" s="4">
        <v>1</v>
      </c>
      <c r="E53" s="4">
        <v>206</v>
      </c>
      <c r="F53" s="4">
        <f>ROUND(Source!T32,O53)</f>
        <v>0</v>
      </c>
      <c r="G53" s="4" t="s">
        <v>80</v>
      </c>
      <c r="H53" s="4" t="s">
        <v>81</v>
      </c>
      <c r="I53" s="4"/>
      <c r="J53" s="4"/>
      <c r="K53" s="4">
        <v>206</v>
      </c>
      <c r="L53" s="4">
        <v>20</v>
      </c>
      <c r="M53" s="4">
        <v>3</v>
      </c>
      <c r="N53" s="4" t="s">
        <v>3</v>
      </c>
      <c r="O53" s="4">
        <v>2</v>
      </c>
      <c r="P53" s="4"/>
      <c r="Q53" s="4"/>
      <c r="R53" s="4"/>
      <c r="S53" s="4"/>
      <c r="T53" s="4"/>
      <c r="U53" s="4"/>
      <c r="V53" s="4"/>
      <c r="W53" s="4"/>
    </row>
    <row r="54" spans="1:206" x14ac:dyDescent="0.2">
      <c r="A54" s="4">
        <v>50</v>
      </c>
      <c r="B54" s="4">
        <v>0</v>
      </c>
      <c r="C54" s="4">
        <v>0</v>
      </c>
      <c r="D54" s="4">
        <v>1</v>
      </c>
      <c r="E54" s="4">
        <v>207</v>
      </c>
      <c r="F54" s="4">
        <f>Source!U32</f>
        <v>43.722000000000001</v>
      </c>
      <c r="G54" s="4" t="s">
        <v>82</v>
      </c>
      <c r="H54" s="4" t="s">
        <v>83</v>
      </c>
      <c r="I54" s="4"/>
      <c r="J54" s="4"/>
      <c r="K54" s="4">
        <v>207</v>
      </c>
      <c r="L54" s="4">
        <v>21</v>
      </c>
      <c r="M54" s="4">
        <v>3</v>
      </c>
      <c r="N54" s="4" t="s">
        <v>3</v>
      </c>
      <c r="O54" s="4">
        <v>-1</v>
      </c>
      <c r="P54" s="4"/>
      <c r="Q54" s="4"/>
      <c r="R54" s="4"/>
      <c r="S54" s="4"/>
      <c r="T54" s="4"/>
      <c r="U54" s="4"/>
      <c r="V54" s="4"/>
      <c r="W54" s="4"/>
    </row>
    <row r="55" spans="1:206" x14ac:dyDescent="0.2">
      <c r="A55" s="4">
        <v>50</v>
      </c>
      <c r="B55" s="4">
        <v>0</v>
      </c>
      <c r="C55" s="4">
        <v>0</v>
      </c>
      <c r="D55" s="4">
        <v>1</v>
      </c>
      <c r="E55" s="4">
        <v>208</v>
      </c>
      <c r="F55" s="4">
        <f>Source!V32</f>
        <v>0</v>
      </c>
      <c r="G55" s="4" t="s">
        <v>84</v>
      </c>
      <c r="H55" s="4" t="s">
        <v>85</v>
      </c>
      <c r="I55" s="4"/>
      <c r="J55" s="4"/>
      <c r="K55" s="4">
        <v>208</v>
      </c>
      <c r="L55" s="4">
        <v>22</v>
      </c>
      <c r="M55" s="4">
        <v>3</v>
      </c>
      <c r="N55" s="4" t="s">
        <v>3</v>
      </c>
      <c r="O55" s="4">
        <v>-1</v>
      </c>
      <c r="P55" s="4"/>
      <c r="Q55" s="4"/>
      <c r="R55" s="4"/>
      <c r="S55" s="4"/>
      <c r="T55" s="4"/>
      <c r="U55" s="4"/>
      <c r="V55" s="4"/>
      <c r="W55" s="4"/>
    </row>
    <row r="56" spans="1:206" x14ac:dyDescent="0.2">
      <c r="A56" s="4">
        <v>50</v>
      </c>
      <c r="B56" s="4">
        <v>0</v>
      </c>
      <c r="C56" s="4">
        <v>0</v>
      </c>
      <c r="D56" s="4">
        <v>1</v>
      </c>
      <c r="E56" s="4">
        <v>209</v>
      </c>
      <c r="F56" s="4">
        <f>ROUND(Source!W32,O56)</f>
        <v>0</v>
      </c>
      <c r="G56" s="4" t="s">
        <v>86</v>
      </c>
      <c r="H56" s="4" t="s">
        <v>87</v>
      </c>
      <c r="I56" s="4"/>
      <c r="J56" s="4"/>
      <c r="K56" s="4">
        <v>209</v>
      </c>
      <c r="L56" s="4">
        <v>23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/>
    </row>
    <row r="57" spans="1:206" x14ac:dyDescent="0.2">
      <c r="A57" s="4">
        <v>50</v>
      </c>
      <c r="B57" s="4">
        <v>0</v>
      </c>
      <c r="C57" s="4">
        <v>0</v>
      </c>
      <c r="D57" s="4">
        <v>1</v>
      </c>
      <c r="E57" s="4">
        <v>233</v>
      </c>
      <c r="F57" s="4">
        <f>ROUND(Source!BD32,O57)</f>
        <v>0</v>
      </c>
      <c r="G57" s="4" t="s">
        <v>88</v>
      </c>
      <c r="H57" s="4" t="s">
        <v>89</v>
      </c>
      <c r="I57" s="4"/>
      <c r="J57" s="4"/>
      <c r="K57" s="4">
        <v>233</v>
      </c>
      <c r="L57" s="4">
        <v>24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/>
    </row>
    <row r="58" spans="1:206" x14ac:dyDescent="0.2">
      <c r="A58" s="4">
        <v>50</v>
      </c>
      <c r="B58" s="4">
        <v>0</v>
      </c>
      <c r="C58" s="4">
        <v>0</v>
      </c>
      <c r="D58" s="4">
        <v>1</v>
      </c>
      <c r="E58" s="4">
        <v>210</v>
      </c>
      <c r="F58" s="4">
        <f>ROUND(Source!X32,O58)</f>
        <v>15998.84</v>
      </c>
      <c r="G58" s="4" t="s">
        <v>90</v>
      </c>
      <c r="H58" s="4" t="s">
        <v>91</v>
      </c>
      <c r="I58" s="4"/>
      <c r="J58" s="4"/>
      <c r="K58" s="4">
        <v>210</v>
      </c>
      <c r="L58" s="4">
        <v>25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/>
    </row>
    <row r="59" spans="1:206" x14ac:dyDescent="0.2">
      <c r="A59" s="4">
        <v>50</v>
      </c>
      <c r="B59" s="4">
        <v>0</v>
      </c>
      <c r="C59" s="4">
        <v>0</v>
      </c>
      <c r="D59" s="4">
        <v>1</v>
      </c>
      <c r="E59" s="4">
        <v>211</v>
      </c>
      <c r="F59" s="4">
        <f>ROUND(Source!Y32,O59)</f>
        <v>7225.29</v>
      </c>
      <c r="G59" s="4" t="s">
        <v>92</v>
      </c>
      <c r="H59" s="4" t="s">
        <v>93</v>
      </c>
      <c r="I59" s="4"/>
      <c r="J59" s="4"/>
      <c r="K59" s="4">
        <v>211</v>
      </c>
      <c r="L59" s="4">
        <v>26</v>
      </c>
      <c r="M59" s="4">
        <v>3</v>
      </c>
      <c r="N59" s="4" t="s">
        <v>3</v>
      </c>
      <c r="O59" s="4">
        <v>2</v>
      </c>
      <c r="P59" s="4"/>
      <c r="Q59" s="4"/>
      <c r="R59" s="4"/>
      <c r="S59" s="4"/>
      <c r="T59" s="4"/>
      <c r="U59" s="4"/>
      <c r="V59" s="4"/>
      <c r="W59" s="4"/>
    </row>
    <row r="60" spans="1:206" x14ac:dyDescent="0.2">
      <c r="A60" s="4">
        <v>50</v>
      </c>
      <c r="B60" s="4">
        <v>0</v>
      </c>
      <c r="C60" s="4">
        <v>0</v>
      </c>
      <c r="D60" s="4">
        <v>1</v>
      </c>
      <c r="E60" s="4">
        <v>224</v>
      </c>
      <c r="F60" s="4">
        <f>ROUND(Source!AR32,O60)</f>
        <v>2278111.11</v>
      </c>
      <c r="G60" s="4" t="s">
        <v>94</v>
      </c>
      <c r="H60" s="4" t="s">
        <v>95</v>
      </c>
      <c r="I60" s="4"/>
      <c r="J60" s="4"/>
      <c r="K60" s="4">
        <v>224</v>
      </c>
      <c r="L60" s="4">
        <v>27</v>
      </c>
      <c r="M60" s="4">
        <v>3</v>
      </c>
      <c r="N60" s="4" t="s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/>
    </row>
    <row r="62" spans="1:206" x14ac:dyDescent="0.2">
      <c r="A62" s="2">
        <v>51</v>
      </c>
      <c r="B62" s="2">
        <f>B12</f>
        <v>95</v>
      </c>
      <c r="C62" s="2">
        <f>A12</f>
        <v>1</v>
      </c>
      <c r="D62" s="2">
        <f>ROW(A12)</f>
        <v>12</v>
      </c>
      <c r="E62" s="2"/>
      <c r="F62" s="2" t="str">
        <f>IF(F12&lt;&gt;"",F12,"")</f>
        <v>Новый объект</v>
      </c>
      <c r="G62" s="2" t="str">
        <f>IF(G12&lt;&gt;"",G12,"")</f>
        <v>Крышки парапета</v>
      </c>
      <c r="H62" s="2">
        <v>0</v>
      </c>
      <c r="I62" s="2"/>
      <c r="J62" s="2"/>
      <c r="K62" s="2"/>
      <c r="L62" s="2"/>
      <c r="M62" s="2"/>
      <c r="N62" s="2"/>
      <c r="O62" s="2">
        <f t="shared" ref="O62:T62" si="52">ROUND(O32,2)</f>
        <v>2254886.98</v>
      </c>
      <c r="P62" s="2">
        <f t="shared" si="52"/>
        <v>2241244.85</v>
      </c>
      <c r="Q62" s="2">
        <f t="shared" si="52"/>
        <v>739.84</v>
      </c>
      <c r="R62" s="2">
        <f t="shared" si="52"/>
        <v>0</v>
      </c>
      <c r="S62" s="2">
        <f t="shared" si="52"/>
        <v>12902.29</v>
      </c>
      <c r="T62" s="2">
        <f t="shared" si="52"/>
        <v>0</v>
      </c>
      <c r="U62" s="2">
        <f>U32</f>
        <v>43.722000000000001</v>
      </c>
      <c r="V62" s="2">
        <f>V32</f>
        <v>0</v>
      </c>
      <c r="W62" s="2">
        <f>ROUND(W32,2)</f>
        <v>0</v>
      </c>
      <c r="X62" s="2">
        <f>ROUND(X32,2)</f>
        <v>15998.84</v>
      </c>
      <c r="Y62" s="2">
        <f>ROUND(Y32,2)</f>
        <v>7225.29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>
        <f t="shared" ref="AO62:BD62" si="53">ROUND(AO32,2)</f>
        <v>0</v>
      </c>
      <c r="AP62" s="2">
        <f t="shared" si="53"/>
        <v>0</v>
      </c>
      <c r="AQ62" s="2">
        <f t="shared" si="53"/>
        <v>0</v>
      </c>
      <c r="AR62" s="2">
        <f t="shared" si="53"/>
        <v>2278111.11</v>
      </c>
      <c r="AS62" s="2">
        <f t="shared" si="53"/>
        <v>2278111.11</v>
      </c>
      <c r="AT62" s="2">
        <f t="shared" si="53"/>
        <v>0</v>
      </c>
      <c r="AU62" s="2">
        <f t="shared" si="53"/>
        <v>0</v>
      </c>
      <c r="AV62" s="2">
        <f t="shared" si="53"/>
        <v>2241244.85</v>
      </c>
      <c r="AW62" s="2">
        <f t="shared" si="53"/>
        <v>2241244.85</v>
      </c>
      <c r="AX62" s="2">
        <f t="shared" si="53"/>
        <v>0</v>
      </c>
      <c r="AY62" s="2">
        <f t="shared" si="53"/>
        <v>2241244.85</v>
      </c>
      <c r="AZ62" s="2">
        <f t="shared" si="53"/>
        <v>0</v>
      </c>
      <c r="BA62" s="2">
        <f t="shared" si="53"/>
        <v>0</v>
      </c>
      <c r="BB62" s="2">
        <f t="shared" si="53"/>
        <v>0</v>
      </c>
      <c r="BC62" s="2">
        <f t="shared" si="53"/>
        <v>0</v>
      </c>
      <c r="BD62" s="2">
        <f t="shared" si="53"/>
        <v>0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>
        <v>0</v>
      </c>
    </row>
    <row r="64" spans="1:206" x14ac:dyDescent="0.2">
      <c r="A64" s="4">
        <v>50</v>
      </c>
      <c r="B64" s="4">
        <v>0</v>
      </c>
      <c r="C64" s="4">
        <v>0</v>
      </c>
      <c r="D64" s="4">
        <v>1</v>
      </c>
      <c r="E64" s="4">
        <v>201</v>
      </c>
      <c r="F64" s="4">
        <f>ROUND(Source!O62,O64)</f>
        <v>2254886.98</v>
      </c>
      <c r="G64" s="4" t="s">
        <v>42</v>
      </c>
      <c r="H64" s="4" t="s">
        <v>43</v>
      </c>
      <c r="I64" s="4"/>
      <c r="J64" s="4"/>
      <c r="K64" s="4">
        <v>201</v>
      </c>
      <c r="L64" s="4">
        <v>1</v>
      </c>
      <c r="M64" s="4">
        <v>3</v>
      </c>
      <c r="N64" s="4" t="s">
        <v>3</v>
      </c>
      <c r="O64" s="4">
        <v>2</v>
      </c>
      <c r="P64" s="4"/>
      <c r="Q64" s="4"/>
      <c r="R64" s="4"/>
      <c r="S64" s="4"/>
      <c r="T64" s="4"/>
      <c r="U64" s="4"/>
      <c r="V64" s="4"/>
      <c r="W64" s="4"/>
    </row>
    <row r="65" spans="1:23" x14ac:dyDescent="0.2">
      <c r="A65" s="4">
        <v>50</v>
      </c>
      <c r="B65" s="4">
        <v>0</v>
      </c>
      <c r="C65" s="4">
        <v>0</v>
      </c>
      <c r="D65" s="4">
        <v>1</v>
      </c>
      <c r="E65" s="4">
        <v>202</v>
      </c>
      <c r="F65" s="4">
        <f>ROUND(Source!P62,O65)</f>
        <v>2241244.85</v>
      </c>
      <c r="G65" s="4" t="s">
        <v>44</v>
      </c>
      <c r="H65" s="4" t="s">
        <v>45</v>
      </c>
      <c r="I65" s="4"/>
      <c r="J65" s="4"/>
      <c r="K65" s="4">
        <v>202</v>
      </c>
      <c r="L65" s="4">
        <v>2</v>
      </c>
      <c r="M65" s="4">
        <v>3</v>
      </c>
      <c r="N65" s="4" t="s">
        <v>3</v>
      </c>
      <c r="O65" s="4">
        <v>2</v>
      </c>
      <c r="P65" s="4"/>
      <c r="Q65" s="4"/>
      <c r="R65" s="4"/>
      <c r="S65" s="4"/>
      <c r="T65" s="4"/>
      <c r="U65" s="4"/>
      <c r="V65" s="4"/>
      <c r="W65" s="4"/>
    </row>
    <row r="66" spans="1:23" x14ac:dyDescent="0.2">
      <c r="A66" s="4">
        <v>50</v>
      </c>
      <c r="B66" s="4">
        <v>0</v>
      </c>
      <c r="C66" s="4">
        <v>0</v>
      </c>
      <c r="D66" s="4">
        <v>1</v>
      </c>
      <c r="E66" s="4">
        <v>222</v>
      </c>
      <c r="F66" s="4">
        <f>ROUND(Source!AO62,O66)</f>
        <v>0</v>
      </c>
      <c r="G66" s="4" t="s">
        <v>46</v>
      </c>
      <c r="H66" s="4" t="s">
        <v>47</v>
      </c>
      <c r="I66" s="4"/>
      <c r="J66" s="4"/>
      <c r="K66" s="4">
        <v>222</v>
      </c>
      <c r="L66" s="4">
        <v>3</v>
      </c>
      <c r="M66" s="4">
        <v>3</v>
      </c>
      <c r="N66" s="4" t="s">
        <v>3</v>
      </c>
      <c r="O66" s="4">
        <v>2</v>
      </c>
      <c r="P66" s="4"/>
      <c r="Q66" s="4"/>
      <c r="R66" s="4"/>
      <c r="S66" s="4"/>
      <c r="T66" s="4"/>
      <c r="U66" s="4"/>
      <c r="V66" s="4"/>
      <c r="W66" s="4"/>
    </row>
    <row r="67" spans="1:23" x14ac:dyDescent="0.2">
      <c r="A67" s="4">
        <v>50</v>
      </c>
      <c r="B67" s="4">
        <v>0</v>
      </c>
      <c r="C67" s="4">
        <v>0</v>
      </c>
      <c r="D67" s="4">
        <v>1</v>
      </c>
      <c r="E67" s="4">
        <v>225</v>
      </c>
      <c r="F67" s="4">
        <f>ROUND(Source!AV62,O67)</f>
        <v>2241244.85</v>
      </c>
      <c r="G67" s="4" t="s">
        <v>48</v>
      </c>
      <c r="H67" s="4" t="s">
        <v>49</v>
      </c>
      <c r="I67" s="4"/>
      <c r="J67" s="4"/>
      <c r="K67" s="4">
        <v>225</v>
      </c>
      <c r="L67" s="4">
        <v>4</v>
      </c>
      <c r="M67" s="4">
        <v>3</v>
      </c>
      <c r="N67" s="4" t="s">
        <v>3</v>
      </c>
      <c r="O67" s="4">
        <v>2</v>
      </c>
      <c r="P67" s="4"/>
      <c r="Q67" s="4"/>
      <c r="R67" s="4"/>
      <c r="S67" s="4"/>
      <c r="T67" s="4"/>
      <c r="U67" s="4"/>
      <c r="V67" s="4"/>
      <c r="W67" s="4"/>
    </row>
    <row r="68" spans="1:23" x14ac:dyDescent="0.2">
      <c r="A68" s="4">
        <v>50</v>
      </c>
      <c r="B68" s="4">
        <v>0</v>
      </c>
      <c r="C68" s="4">
        <v>0</v>
      </c>
      <c r="D68" s="4">
        <v>1</v>
      </c>
      <c r="E68" s="4">
        <v>226</v>
      </c>
      <c r="F68" s="4">
        <f>ROUND(Source!AW62,O68)</f>
        <v>2241244.85</v>
      </c>
      <c r="G68" s="4" t="s">
        <v>50</v>
      </c>
      <c r="H68" s="4" t="s">
        <v>51</v>
      </c>
      <c r="I68" s="4"/>
      <c r="J68" s="4"/>
      <c r="K68" s="4">
        <v>226</v>
      </c>
      <c r="L68" s="4">
        <v>5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/>
    </row>
    <row r="69" spans="1:23" x14ac:dyDescent="0.2">
      <c r="A69" s="4">
        <v>50</v>
      </c>
      <c r="B69" s="4">
        <v>0</v>
      </c>
      <c r="C69" s="4">
        <v>0</v>
      </c>
      <c r="D69" s="4">
        <v>1</v>
      </c>
      <c r="E69" s="4">
        <v>227</v>
      </c>
      <c r="F69" s="4">
        <f>ROUND(Source!AX62,O69)</f>
        <v>0</v>
      </c>
      <c r="G69" s="4" t="s">
        <v>52</v>
      </c>
      <c r="H69" s="4" t="s">
        <v>53</v>
      </c>
      <c r="I69" s="4"/>
      <c r="J69" s="4"/>
      <c r="K69" s="4">
        <v>227</v>
      </c>
      <c r="L69" s="4">
        <v>6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/>
    </row>
    <row r="70" spans="1:23" x14ac:dyDescent="0.2">
      <c r="A70" s="4">
        <v>50</v>
      </c>
      <c r="B70" s="4">
        <v>0</v>
      </c>
      <c r="C70" s="4">
        <v>0</v>
      </c>
      <c r="D70" s="4">
        <v>1</v>
      </c>
      <c r="E70" s="4">
        <v>228</v>
      </c>
      <c r="F70" s="4">
        <f>ROUND(Source!AY62,O70)</f>
        <v>2241244.85</v>
      </c>
      <c r="G70" s="4" t="s">
        <v>54</v>
      </c>
      <c r="H70" s="4" t="s">
        <v>55</v>
      </c>
      <c r="I70" s="4"/>
      <c r="J70" s="4"/>
      <c r="K70" s="4">
        <v>228</v>
      </c>
      <c r="L70" s="4">
        <v>7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/>
    </row>
    <row r="71" spans="1:23" x14ac:dyDescent="0.2">
      <c r="A71" s="4">
        <v>50</v>
      </c>
      <c r="B71" s="4">
        <v>0</v>
      </c>
      <c r="C71" s="4">
        <v>0</v>
      </c>
      <c r="D71" s="4">
        <v>1</v>
      </c>
      <c r="E71" s="4">
        <v>216</v>
      </c>
      <c r="F71" s="4">
        <f>ROUND(Source!AP62,O71)</f>
        <v>0</v>
      </c>
      <c r="G71" s="4" t="s">
        <v>56</v>
      </c>
      <c r="H71" s="4" t="s">
        <v>57</v>
      </c>
      <c r="I71" s="4"/>
      <c r="J71" s="4"/>
      <c r="K71" s="4">
        <v>216</v>
      </c>
      <c r="L71" s="4">
        <v>8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/>
    </row>
    <row r="72" spans="1:23" x14ac:dyDescent="0.2">
      <c r="A72" s="4">
        <v>50</v>
      </c>
      <c r="B72" s="4">
        <v>0</v>
      </c>
      <c r="C72" s="4">
        <v>0</v>
      </c>
      <c r="D72" s="4">
        <v>1</v>
      </c>
      <c r="E72" s="4">
        <v>223</v>
      </c>
      <c r="F72" s="4">
        <f>ROUND(Source!AQ62,O72)</f>
        <v>0</v>
      </c>
      <c r="G72" s="4" t="s">
        <v>58</v>
      </c>
      <c r="H72" s="4" t="s">
        <v>59</v>
      </c>
      <c r="I72" s="4"/>
      <c r="J72" s="4"/>
      <c r="K72" s="4">
        <v>223</v>
      </c>
      <c r="L72" s="4">
        <v>9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/>
    </row>
    <row r="73" spans="1:23" x14ac:dyDescent="0.2">
      <c r="A73" s="4">
        <v>50</v>
      </c>
      <c r="B73" s="4">
        <v>0</v>
      </c>
      <c r="C73" s="4">
        <v>0</v>
      </c>
      <c r="D73" s="4">
        <v>1</v>
      </c>
      <c r="E73" s="4">
        <v>229</v>
      </c>
      <c r="F73" s="4">
        <f>ROUND(Source!AZ62,O73)</f>
        <v>0</v>
      </c>
      <c r="G73" s="4" t="s">
        <v>60</v>
      </c>
      <c r="H73" s="4" t="s">
        <v>61</v>
      </c>
      <c r="I73" s="4"/>
      <c r="J73" s="4"/>
      <c r="K73" s="4">
        <v>229</v>
      </c>
      <c r="L73" s="4">
        <v>10</v>
      </c>
      <c r="M73" s="4">
        <v>3</v>
      </c>
      <c r="N73" s="4" t="s">
        <v>3</v>
      </c>
      <c r="O73" s="4">
        <v>2</v>
      </c>
      <c r="P73" s="4"/>
      <c r="Q73" s="4"/>
      <c r="R73" s="4"/>
      <c r="S73" s="4"/>
      <c r="T73" s="4"/>
      <c r="U73" s="4"/>
      <c r="V73" s="4"/>
      <c r="W73" s="4"/>
    </row>
    <row r="74" spans="1:23" x14ac:dyDescent="0.2">
      <c r="A74" s="4">
        <v>50</v>
      </c>
      <c r="B74" s="4">
        <v>0</v>
      </c>
      <c r="C74" s="4">
        <v>0</v>
      </c>
      <c r="D74" s="4">
        <v>1</v>
      </c>
      <c r="E74" s="4">
        <v>203</v>
      </c>
      <c r="F74" s="4">
        <f>ROUND(Source!Q62,O74)</f>
        <v>739.84</v>
      </c>
      <c r="G74" s="4" t="s">
        <v>62</v>
      </c>
      <c r="H74" s="4" t="s">
        <v>63</v>
      </c>
      <c r="I74" s="4"/>
      <c r="J74" s="4"/>
      <c r="K74" s="4">
        <v>203</v>
      </c>
      <c r="L74" s="4">
        <v>11</v>
      </c>
      <c r="M74" s="4">
        <v>3</v>
      </c>
      <c r="N74" s="4" t="s">
        <v>3</v>
      </c>
      <c r="O74" s="4">
        <v>2</v>
      </c>
      <c r="P74" s="4"/>
      <c r="Q74" s="4"/>
      <c r="R74" s="4"/>
      <c r="S74" s="4"/>
      <c r="T74" s="4"/>
      <c r="U74" s="4"/>
      <c r="V74" s="4"/>
      <c r="W74" s="4"/>
    </row>
    <row r="75" spans="1:23" x14ac:dyDescent="0.2">
      <c r="A75" s="4">
        <v>50</v>
      </c>
      <c r="B75" s="4">
        <v>0</v>
      </c>
      <c r="C75" s="4">
        <v>0</v>
      </c>
      <c r="D75" s="4">
        <v>1</v>
      </c>
      <c r="E75" s="4">
        <v>231</v>
      </c>
      <c r="F75" s="4">
        <f>ROUND(Source!BB62,O75)</f>
        <v>0</v>
      </c>
      <c r="G75" s="4" t="s">
        <v>64</v>
      </c>
      <c r="H75" s="4" t="s">
        <v>65</v>
      </c>
      <c r="I75" s="4"/>
      <c r="J75" s="4"/>
      <c r="K75" s="4">
        <v>231</v>
      </c>
      <c r="L75" s="4">
        <v>12</v>
      </c>
      <c r="M75" s="4">
        <v>3</v>
      </c>
      <c r="N75" s="4" t="s">
        <v>3</v>
      </c>
      <c r="O75" s="4">
        <v>2</v>
      </c>
      <c r="P75" s="4"/>
      <c r="Q75" s="4"/>
      <c r="R75" s="4"/>
      <c r="S75" s="4"/>
      <c r="T75" s="4"/>
      <c r="U75" s="4"/>
      <c r="V75" s="4"/>
      <c r="W75" s="4"/>
    </row>
    <row r="76" spans="1:23" x14ac:dyDescent="0.2">
      <c r="A76" s="4">
        <v>50</v>
      </c>
      <c r="B76" s="4">
        <v>0</v>
      </c>
      <c r="C76" s="4">
        <v>0</v>
      </c>
      <c r="D76" s="4">
        <v>1</v>
      </c>
      <c r="E76" s="4">
        <v>204</v>
      </c>
      <c r="F76" s="4">
        <f>ROUND(Source!R62,O76)</f>
        <v>0</v>
      </c>
      <c r="G76" s="4" t="s">
        <v>66</v>
      </c>
      <c r="H76" s="4" t="s">
        <v>67</v>
      </c>
      <c r="I76" s="4"/>
      <c r="J76" s="4"/>
      <c r="K76" s="4">
        <v>204</v>
      </c>
      <c r="L76" s="4">
        <v>13</v>
      </c>
      <c r="M76" s="4">
        <v>3</v>
      </c>
      <c r="N76" s="4" t="s">
        <v>3</v>
      </c>
      <c r="O76" s="4">
        <v>2</v>
      </c>
      <c r="P76" s="4"/>
      <c r="Q76" s="4"/>
      <c r="R76" s="4"/>
      <c r="S76" s="4"/>
      <c r="T76" s="4"/>
      <c r="U76" s="4"/>
      <c r="V76" s="4"/>
      <c r="W76" s="4"/>
    </row>
    <row r="77" spans="1:23" x14ac:dyDescent="0.2">
      <c r="A77" s="4">
        <v>50</v>
      </c>
      <c r="B77" s="4">
        <v>0</v>
      </c>
      <c r="C77" s="4">
        <v>0</v>
      </c>
      <c r="D77" s="4">
        <v>1</v>
      </c>
      <c r="E77" s="4">
        <v>205</v>
      </c>
      <c r="F77" s="4">
        <f>ROUND(Source!S62,O77)</f>
        <v>12902.29</v>
      </c>
      <c r="G77" s="4" t="s">
        <v>68</v>
      </c>
      <c r="H77" s="4" t="s">
        <v>69</v>
      </c>
      <c r="I77" s="4"/>
      <c r="J77" s="4"/>
      <c r="K77" s="4">
        <v>205</v>
      </c>
      <c r="L77" s="4">
        <v>14</v>
      </c>
      <c r="M77" s="4">
        <v>3</v>
      </c>
      <c r="N77" s="4" t="s">
        <v>3</v>
      </c>
      <c r="O77" s="4">
        <v>2</v>
      </c>
      <c r="P77" s="4"/>
      <c r="Q77" s="4"/>
      <c r="R77" s="4"/>
      <c r="S77" s="4"/>
      <c r="T77" s="4"/>
      <c r="U77" s="4"/>
      <c r="V77" s="4"/>
      <c r="W77" s="4"/>
    </row>
    <row r="78" spans="1:23" x14ac:dyDescent="0.2">
      <c r="A78" s="4">
        <v>50</v>
      </c>
      <c r="B78" s="4">
        <v>0</v>
      </c>
      <c r="C78" s="4">
        <v>0</v>
      </c>
      <c r="D78" s="4">
        <v>1</v>
      </c>
      <c r="E78" s="4">
        <v>232</v>
      </c>
      <c r="F78" s="4">
        <f>ROUND(Source!BC62,O78)</f>
        <v>0</v>
      </c>
      <c r="G78" s="4" t="s">
        <v>70</v>
      </c>
      <c r="H78" s="4" t="s">
        <v>71</v>
      </c>
      <c r="I78" s="4"/>
      <c r="J78" s="4"/>
      <c r="K78" s="4">
        <v>232</v>
      </c>
      <c r="L78" s="4">
        <v>15</v>
      </c>
      <c r="M78" s="4">
        <v>3</v>
      </c>
      <c r="N78" s="4" t="s">
        <v>3</v>
      </c>
      <c r="O78" s="4">
        <v>2</v>
      </c>
      <c r="P78" s="4"/>
      <c r="Q78" s="4"/>
      <c r="R78" s="4"/>
      <c r="S78" s="4"/>
      <c r="T78" s="4"/>
      <c r="U78" s="4"/>
      <c r="V78" s="4"/>
      <c r="W78" s="4"/>
    </row>
    <row r="79" spans="1:23" x14ac:dyDescent="0.2">
      <c r="A79" s="4">
        <v>50</v>
      </c>
      <c r="B79" s="4">
        <v>0</v>
      </c>
      <c r="C79" s="4">
        <v>0</v>
      </c>
      <c r="D79" s="4">
        <v>1</v>
      </c>
      <c r="E79" s="4">
        <v>214</v>
      </c>
      <c r="F79" s="4">
        <f>ROUND(Source!AS62,O79)</f>
        <v>2278111.11</v>
      </c>
      <c r="G79" s="4" t="s">
        <v>72</v>
      </c>
      <c r="H79" s="4" t="s">
        <v>73</v>
      </c>
      <c r="I79" s="4"/>
      <c r="J79" s="4"/>
      <c r="K79" s="4">
        <v>214</v>
      </c>
      <c r="L79" s="4">
        <v>16</v>
      </c>
      <c r="M79" s="4">
        <v>3</v>
      </c>
      <c r="N79" s="4" t="s">
        <v>3</v>
      </c>
      <c r="O79" s="4">
        <v>2</v>
      </c>
      <c r="P79" s="4"/>
      <c r="Q79" s="4"/>
      <c r="R79" s="4"/>
      <c r="S79" s="4"/>
      <c r="T79" s="4"/>
      <c r="U79" s="4"/>
      <c r="V79" s="4"/>
      <c r="W79" s="4"/>
    </row>
    <row r="80" spans="1:23" x14ac:dyDescent="0.2">
      <c r="A80" s="4">
        <v>50</v>
      </c>
      <c r="B80" s="4">
        <v>0</v>
      </c>
      <c r="C80" s="4">
        <v>0</v>
      </c>
      <c r="D80" s="4">
        <v>1</v>
      </c>
      <c r="E80" s="4">
        <v>215</v>
      </c>
      <c r="F80" s="4">
        <f>ROUND(Source!AT62,O80)</f>
        <v>0</v>
      </c>
      <c r="G80" s="4" t="s">
        <v>74</v>
      </c>
      <c r="H80" s="4" t="s">
        <v>75</v>
      </c>
      <c r="I80" s="4"/>
      <c r="J80" s="4"/>
      <c r="K80" s="4">
        <v>215</v>
      </c>
      <c r="L80" s="4">
        <v>17</v>
      </c>
      <c r="M80" s="4">
        <v>3</v>
      </c>
      <c r="N80" s="4" t="s">
        <v>3</v>
      </c>
      <c r="O80" s="4">
        <v>2</v>
      </c>
      <c r="P80" s="4"/>
      <c r="Q80" s="4"/>
      <c r="R80" s="4"/>
      <c r="S80" s="4"/>
      <c r="T80" s="4"/>
      <c r="U80" s="4"/>
      <c r="V80" s="4"/>
      <c r="W80" s="4"/>
    </row>
    <row r="81" spans="1:27" x14ac:dyDescent="0.2">
      <c r="A81" s="4">
        <v>50</v>
      </c>
      <c r="B81" s="4">
        <v>0</v>
      </c>
      <c r="C81" s="4">
        <v>0</v>
      </c>
      <c r="D81" s="4">
        <v>1</v>
      </c>
      <c r="E81" s="4">
        <v>217</v>
      </c>
      <c r="F81" s="4">
        <f>ROUND(Source!AU62,O81)</f>
        <v>0</v>
      </c>
      <c r="G81" s="4" t="s">
        <v>76</v>
      </c>
      <c r="H81" s="4" t="s">
        <v>77</v>
      </c>
      <c r="I81" s="4"/>
      <c r="J81" s="4"/>
      <c r="K81" s="4">
        <v>217</v>
      </c>
      <c r="L81" s="4">
        <v>18</v>
      </c>
      <c r="M81" s="4">
        <v>3</v>
      </c>
      <c r="N81" s="4" t="s">
        <v>3</v>
      </c>
      <c r="O81" s="4">
        <v>2</v>
      </c>
      <c r="P81" s="4"/>
      <c r="Q81" s="4"/>
      <c r="R81" s="4"/>
      <c r="S81" s="4"/>
      <c r="T81" s="4"/>
      <c r="U81" s="4"/>
      <c r="V81" s="4"/>
      <c r="W81" s="4"/>
    </row>
    <row r="82" spans="1:27" x14ac:dyDescent="0.2">
      <c r="A82" s="4">
        <v>50</v>
      </c>
      <c r="B82" s="4">
        <v>0</v>
      </c>
      <c r="C82" s="4">
        <v>0</v>
      </c>
      <c r="D82" s="4">
        <v>1</v>
      </c>
      <c r="E82" s="4">
        <v>230</v>
      </c>
      <c r="F82" s="4">
        <f>ROUND(Source!BA62,O82)</f>
        <v>0</v>
      </c>
      <c r="G82" s="4" t="s">
        <v>78</v>
      </c>
      <c r="H82" s="4" t="s">
        <v>79</v>
      </c>
      <c r="I82" s="4"/>
      <c r="J82" s="4"/>
      <c r="K82" s="4">
        <v>230</v>
      </c>
      <c r="L82" s="4">
        <v>19</v>
      </c>
      <c r="M82" s="4">
        <v>3</v>
      </c>
      <c r="N82" s="4" t="s">
        <v>3</v>
      </c>
      <c r="O82" s="4">
        <v>2</v>
      </c>
      <c r="P82" s="4"/>
      <c r="Q82" s="4"/>
      <c r="R82" s="4"/>
      <c r="S82" s="4"/>
      <c r="T82" s="4"/>
      <c r="U82" s="4"/>
      <c r="V82" s="4"/>
      <c r="W82" s="4"/>
    </row>
    <row r="83" spans="1:27" x14ac:dyDescent="0.2">
      <c r="A83" s="4">
        <v>50</v>
      </c>
      <c r="B83" s="4">
        <v>0</v>
      </c>
      <c r="C83" s="4">
        <v>0</v>
      </c>
      <c r="D83" s="4">
        <v>1</v>
      </c>
      <c r="E83" s="4">
        <v>206</v>
      </c>
      <c r="F83" s="4">
        <f>ROUND(Source!T62,O83)</f>
        <v>0</v>
      </c>
      <c r="G83" s="4" t="s">
        <v>80</v>
      </c>
      <c r="H83" s="4" t="s">
        <v>81</v>
      </c>
      <c r="I83" s="4"/>
      <c r="J83" s="4"/>
      <c r="K83" s="4">
        <v>206</v>
      </c>
      <c r="L83" s="4">
        <v>20</v>
      </c>
      <c r="M83" s="4">
        <v>3</v>
      </c>
      <c r="N83" s="4" t="s">
        <v>3</v>
      </c>
      <c r="O83" s="4">
        <v>2</v>
      </c>
      <c r="P83" s="4"/>
      <c r="Q83" s="4"/>
      <c r="R83" s="4"/>
      <c r="S83" s="4"/>
      <c r="T83" s="4"/>
      <c r="U83" s="4"/>
      <c r="V83" s="4"/>
      <c r="W83" s="4"/>
    </row>
    <row r="84" spans="1:27" x14ac:dyDescent="0.2">
      <c r="A84" s="4">
        <v>50</v>
      </c>
      <c r="B84" s="4">
        <v>0</v>
      </c>
      <c r="C84" s="4">
        <v>0</v>
      </c>
      <c r="D84" s="4">
        <v>1</v>
      </c>
      <c r="E84" s="4">
        <v>207</v>
      </c>
      <c r="F84" s="4">
        <f>Source!U62</f>
        <v>43.722000000000001</v>
      </c>
      <c r="G84" s="4" t="s">
        <v>82</v>
      </c>
      <c r="H84" s="4" t="s">
        <v>83</v>
      </c>
      <c r="I84" s="4"/>
      <c r="J84" s="4"/>
      <c r="K84" s="4">
        <v>207</v>
      </c>
      <c r="L84" s="4">
        <v>21</v>
      </c>
      <c r="M84" s="4">
        <v>3</v>
      </c>
      <c r="N84" s="4" t="s">
        <v>3</v>
      </c>
      <c r="O84" s="4">
        <v>-1</v>
      </c>
      <c r="P84" s="4"/>
      <c r="Q84" s="4"/>
      <c r="R84" s="4"/>
      <c r="S84" s="4"/>
      <c r="T84" s="4"/>
      <c r="U84" s="4"/>
      <c r="V84" s="4"/>
      <c r="W84" s="4"/>
    </row>
    <row r="85" spans="1:27" x14ac:dyDescent="0.2">
      <c r="A85" s="4">
        <v>50</v>
      </c>
      <c r="B85" s="4">
        <v>0</v>
      </c>
      <c r="C85" s="4">
        <v>0</v>
      </c>
      <c r="D85" s="4">
        <v>1</v>
      </c>
      <c r="E85" s="4">
        <v>208</v>
      </c>
      <c r="F85" s="4">
        <f>Source!V62</f>
        <v>0</v>
      </c>
      <c r="G85" s="4" t="s">
        <v>84</v>
      </c>
      <c r="H85" s="4" t="s">
        <v>85</v>
      </c>
      <c r="I85" s="4"/>
      <c r="J85" s="4"/>
      <c r="K85" s="4">
        <v>208</v>
      </c>
      <c r="L85" s="4">
        <v>22</v>
      </c>
      <c r="M85" s="4">
        <v>3</v>
      </c>
      <c r="N85" s="4" t="s">
        <v>3</v>
      </c>
      <c r="O85" s="4">
        <v>-1</v>
      </c>
      <c r="P85" s="4"/>
      <c r="Q85" s="4"/>
      <c r="R85" s="4"/>
      <c r="S85" s="4"/>
      <c r="T85" s="4"/>
      <c r="U85" s="4"/>
      <c r="V85" s="4"/>
      <c r="W85" s="4"/>
    </row>
    <row r="86" spans="1:27" x14ac:dyDescent="0.2">
      <c r="A86" s="4">
        <v>50</v>
      </c>
      <c r="B86" s="4">
        <v>0</v>
      </c>
      <c r="C86" s="4">
        <v>0</v>
      </c>
      <c r="D86" s="4">
        <v>1</v>
      </c>
      <c r="E86" s="4">
        <v>209</v>
      </c>
      <c r="F86" s="4">
        <f>ROUND(Source!W62,O86)</f>
        <v>0</v>
      </c>
      <c r="G86" s="4" t="s">
        <v>86</v>
      </c>
      <c r="H86" s="4" t="s">
        <v>87</v>
      </c>
      <c r="I86" s="4"/>
      <c r="J86" s="4"/>
      <c r="K86" s="4">
        <v>209</v>
      </c>
      <c r="L86" s="4">
        <v>23</v>
      </c>
      <c r="M86" s="4">
        <v>3</v>
      </c>
      <c r="N86" s="4" t="s">
        <v>3</v>
      </c>
      <c r="O86" s="4">
        <v>2</v>
      </c>
      <c r="P86" s="4"/>
      <c r="Q86" s="4"/>
      <c r="R86" s="4"/>
      <c r="S86" s="4"/>
      <c r="T86" s="4"/>
      <c r="U86" s="4"/>
      <c r="V86" s="4"/>
      <c r="W86" s="4"/>
    </row>
    <row r="87" spans="1:27" x14ac:dyDescent="0.2">
      <c r="A87" s="4">
        <v>50</v>
      </c>
      <c r="B87" s="4">
        <v>0</v>
      </c>
      <c r="C87" s="4">
        <v>0</v>
      </c>
      <c r="D87" s="4">
        <v>1</v>
      </c>
      <c r="E87" s="4">
        <v>233</v>
      </c>
      <c r="F87" s="4">
        <f>ROUND(Source!BD62,O87)</f>
        <v>0</v>
      </c>
      <c r="G87" s="4" t="s">
        <v>88</v>
      </c>
      <c r="H87" s="4" t="s">
        <v>89</v>
      </c>
      <c r="I87" s="4"/>
      <c r="J87" s="4"/>
      <c r="K87" s="4">
        <v>233</v>
      </c>
      <c r="L87" s="4">
        <v>24</v>
      </c>
      <c r="M87" s="4">
        <v>3</v>
      </c>
      <c r="N87" s="4" t="s">
        <v>3</v>
      </c>
      <c r="O87" s="4">
        <v>2</v>
      </c>
      <c r="P87" s="4"/>
      <c r="Q87" s="4"/>
      <c r="R87" s="4"/>
      <c r="S87" s="4"/>
      <c r="T87" s="4"/>
      <c r="U87" s="4"/>
      <c r="V87" s="4"/>
      <c r="W87" s="4"/>
    </row>
    <row r="88" spans="1:27" x14ac:dyDescent="0.2">
      <c r="A88" s="4">
        <v>50</v>
      </c>
      <c r="B88" s="4">
        <v>0</v>
      </c>
      <c r="C88" s="4">
        <v>0</v>
      </c>
      <c r="D88" s="4">
        <v>1</v>
      </c>
      <c r="E88" s="4">
        <v>210</v>
      </c>
      <c r="F88" s="4">
        <f>ROUND(Source!X62,O88)</f>
        <v>15998.84</v>
      </c>
      <c r="G88" s="4" t="s">
        <v>90</v>
      </c>
      <c r="H88" s="4" t="s">
        <v>91</v>
      </c>
      <c r="I88" s="4"/>
      <c r="J88" s="4"/>
      <c r="K88" s="4">
        <v>210</v>
      </c>
      <c r="L88" s="4">
        <v>25</v>
      </c>
      <c r="M88" s="4">
        <v>3</v>
      </c>
      <c r="N88" s="4" t="s">
        <v>3</v>
      </c>
      <c r="O88" s="4">
        <v>2</v>
      </c>
      <c r="P88" s="4"/>
      <c r="Q88" s="4"/>
      <c r="R88" s="4"/>
      <c r="S88" s="4"/>
      <c r="T88" s="4"/>
      <c r="U88" s="4"/>
      <c r="V88" s="4"/>
      <c r="W88" s="4"/>
    </row>
    <row r="89" spans="1:27" x14ac:dyDescent="0.2">
      <c r="A89" s="4">
        <v>50</v>
      </c>
      <c r="B89" s="4">
        <v>0</v>
      </c>
      <c r="C89" s="4">
        <v>0</v>
      </c>
      <c r="D89" s="4">
        <v>1</v>
      </c>
      <c r="E89" s="4">
        <v>211</v>
      </c>
      <c r="F89" s="4">
        <f>ROUND(Source!Y62,O89)</f>
        <v>7225.29</v>
      </c>
      <c r="G89" s="4" t="s">
        <v>92</v>
      </c>
      <c r="H89" s="4" t="s">
        <v>93</v>
      </c>
      <c r="I89" s="4"/>
      <c r="J89" s="4"/>
      <c r="K89" s="4">
        <v>211</v>
      </c>
      <c r="L89" s="4">
        <v>26</v>
      </c>
      <c r="M89" s="4">
        <v>3</v>
      </c>
      <c r="N89" s="4" t="s">
        <v>3</v>
      </c>
      <c r="O89" s="4">
        <v>2</v>
      </c>
      <c r="P89" s="4"/>
      <c r="Q89" s="4"/>
      <c r="R89" s="4"/>
      <c r="S89" s="4"/>
      <c r="T89" s="4"/>
      <c r="U89" s="4"/>
      <c r="V89" s="4"/>
      <c r="W89" s="4"/>
    </row>
    <row r="90" spans="1:27" x14ac:dyDescent="0.2">
      <c r="A90" s="4">
        <v>50</v>
      </c>
      <c r="B90" s="4">
        <v>0</v>
      </c>
      <c r="C90" s="4">
        <v>0</v>
      </c>
      <c r="D90" s="4">
        <v>1</v>
      </c>
      <c r="E90" s="4">
        <v>224</v>
      </c>
      <c r="F90" s="4">
        <f>ROUND(Source!AR62,O90)</f>
        <v>2278111.11</v>
      </c>
      <c r="G90" s="4" t="s">
        <v>94</v>
      </c>
      <c r="H90" s="4" t="s">
        <v>95</v>
      </c>
      <c r="I90" s="4"/>
      <c r="J90" s="4"/>
      <c r="K90" s="4">
        <v>224</v>
      </c>
      <c r="L90" s="4">
        <v>27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/>
    </row>
    <row r="93" spans="1:27" x14ac:dyDescent="0.2">
      <c r="A93">
        <v>-1</v>
      </c>
    </row>
    <row r="95" spans="1:27" x14ac:dyDescent="0.2">
      <c r="A95" s="3">
        <v>75</v>
      </c>
      <c r="B95" s="3" t="s">
        <v>96</v>
      </c>
      <c r="C95" s="3">
        <v>2020</v>
      </c>
      <c r="D95" s="3">
        <v>0</v>
      </c>
      <c r="E95" s="3">
        <v>10</v>
      </c>
      <c r="F95" s="3"/>
      <c r="G95" s="3">
        <v>0</v>
      </c>
      <c r="H95" s="3">
        <v>2</v>
      </c>
      <c r="I95" s="3">
        <v>1</v>
      </c>
      <c r="J95" s="3">
        <v>1</v>
      </c>
      <c r="K95" s="3">
        <v>93</v>
      </c>
      <c r="L95" s="3">
        <v>64</v>
      </c>
      <c r="M95" s="3">
        <v>0</v>
      </c>
      <c r="N95" s="3">
        <v>44887815</v>
      </c>
      <c r="O95" s="3">
        <v>1</v>
      </c>
    </row>
    <row r="96" spans="1:27" x14ac:dyDescent="0.2">
      <c r="A96" s="5">
        <v>1</v>
      </c>
      <c r="B96" s="5" t="s">
        <v>97</v>
      </c>
      <c r="C96" s="5" t="s">
        <v>98</v>
      </c>
      <c r="D96" s="5">
        <v>2020</v>
      </c>
      <c r="E96" s="5">
        <v>10</v>
      </c>
      <c r="F96" s="5">
        <v>1</v>
      </c>
      <c r="G96" s="5">
        <v>1</v>
      </c>
      <c r="H96" s="5">
        <v>0</v>
      </c>
      <c r="I96" s="5">
        <v>2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 t="s">
        <v>3</v>
      </c>
      <c r="S96" s="5" t="s">
        <v>3</v>
      </c>
      <c r="T96" s="5" t="s">
        <v>3</v>
      </c>
      <c r="U96" s="5" t="s">
        <v>3</v>
      </c>
      <c r="V96" s="5" t="s">
        <v>3</v>
      </c>
      <c r="W96" s="5" t="s">
        <v>3</v>
      </c>
      <c r="X96" s="5" t="s">
        <v>3</v>
      </c>
      <c r="Y96" s="5" t="s">
        <v>3</v>
      </c>
      <c r="Z96" s="5" t="s">
        <v>3</v>
      </c>
      <c r="AA96" s="5" t="s">
        <v>99</v>
      </c>
    </row>
    <row r="100" spans="1:5" x14ac:dyDescent="0.2">
      <c r="A100">
        <v>65</v>
      </c>
      <c r="C100">
        <v>1</v>
      </c>
      <c r="D100">
        <v>0</v>
      </c>
      <c r="E100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100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63577</v>
      </c>
      <c r="M1">
        <v>10</v>
      </c>
      <c r="N1">
        <v>11</v>
      </c>
      <c r="O1">
        <v>0</v>
      </c>
      <c r="P1">
        <v>1</v>
      </c>
      <c r="Q1">
        <v>6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/>
      <c r="M12" s="1"/>
      <c r="N12" s="1"/>
      <c r="O12" s="1">
        <v>0</v>
      </c>
      <c r="P12" s="1">
        <v>0</v>
      </c>
      <c r="Q12" s="1">
        <v>0</v>
      </c>
      <c r="R12" s="1">
        <v>157</v>
      </c>
      <c r="S12" s="1"/>
      <c r="T12" s="1"/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/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18874376</v>
      </c>
      <c r="CI12" s="1" t="s">
        <v>3</v>
      </c>
      <c r="CJ12" s="1" t="s">
        <v>3</v>
      </c>
      <c r="CK12" s="1">
        <v>58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0</v>
      </c>
      <c r="C14" s="1">
        <v>0</v>
      </c>
      <c r="D14" s="1">
        <v>44887815</v>
      </c>
      <c r="E14" s="1">
        <v>0</v>
      </c>
      <c r="F14" s="1">
        <v>3</v>
      </c>
      <c r="G14" s="1"/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12</v>
      </c>
      <c r="D16" s="6" t="s">
        <v>12</v>
      </c>
      <c r="E16" s="7">
        <f>(Source!F49)/1000</f>
        <v>2278.1111099999998</v>
      </c>
      <c r="F16" s="7">
        <f>(Source!F50)/1000</f>
        <v>0</v>
      </c>
      <c r="G16" s="7">
        <f>(Source!F41)/1000</f>
        <v>0</v>
      </c>
      <c r="H16" s="7">
        <f>(Source!F51)/1000+(Source!F52)/1000</f>
        <v>0</v>
      </c>
      <c r="I16" s="7">
        <f>E16+F16+G16+H16</f>
        <v>2278.1111099999998</v>
      </c>
      <c r="J16" s="7">
        <f>(Source!F47)/1000</f>
        <v>12.902290000000001</v>
      </c>
      <c r="AI16" s="6">
        <v>0</v>
      </c>
      <c r="AJ16" s="6">
        <v>0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2254886.98</v>
      </c>
      <c r="AU16" s="7">
        <v>2241244.85</v>
      </c>
      <c r="AV16" s="7">
        <v>0</v>
      </c>
      <c r="AW16" s="7">
        <v>0</v>
      </c>
      <c r="AX16" s="7">
        <v>0</v>
      </c>
      <c r="AY16" s="7">
        <v>739.84</v>
      </c>
      <c r="AZ16" s="7">
        <v>0</v>
      </c>
      <c r="BA16" s="7">
        <v>12902.29</v>
      </c>
      <c r="BB16" s="7">
        <v>2278111.11</v>
      </c>
      <c r="BC16" s="7">
        <v>0</v>
      </c>
      <c r="BD16" s="7">
        <v>0</v>
      </c>
      <c r="BE16" s="7">
        <v>0</v>
      </c>
      <c r="BF16" s="7">
        <v>43.722000000000001</v>
      </c>
      <c r="BG16" s="7">
        <v>0</v>
      </c>
      <c r="BH16" s="7">
        <v>0</v>
      </c>
      <c r="BI16" s="7">
        <v>15998.84</v>
      </c>
      <c r="BJ16" s="7">
        <v>7225.29</v>
      </c>
      <c r="BK16" s="7">
        <v>2278111.11</v>
      </c>
    </row>
    <row r="18" spans="1:19" x14ac:dyDescent="0.2">
      <c r="A18">
        <v>51</v>
      </c>
      <c r="E18" s="8">
        <f>SUMIF(A16:A17,3,E16:E17)</f>
        <v>2278.1111099999998</v>
      </c>
      <c r="F18" s="8">
        <f>SUMIF(A16:A17,3,F16:F17)</f>
        <v>0</v>
      </c>
      <c r="G18" s="8">
        <f>SUMIF(A16:A17,3,G16:G17)</f>
        <v>0</v>
      </c>
      <c r="H18" s="8">
        <f>SUMIF(A16:A17,3,H16:H17)</f>
        <v>0</v>
      </c>
      <c r="I18" s="8">
        <f>SUMIF(A16:A17,3,I16:I17)</f>
        <v>2278.1111099999998</v>
      </c>
      <c r="J18" s="8">
        <f>SUMIF(A16:A17,3,J16:J17)</f>
        <v>12.902290000000001</v>
      </c>
      <c r="K18" s="8"/>
      <c r="L18" s="8"/>
      <c r="M18" s="8"/>
      <c r="N18" s="8"/>
      <c r="O18" s="8"/>
      <c r="P18" s="8"/>
      <c r="Q18" s="8"/>
      <c r="R18" s="8"/>
      <c r="S18" s="8"/>
    </row>
    <row r="20" spans="1:19" x14ac:dyDescent="0.2">
      <c r="A20" s="4">
        <v>50</v>
      </c>
      <c r="B20" s="4">
        <v>0</v>
      </c>
      <c r="C20" s="4">
        <v>0</v>
      </c>
      <c r="D20" s="4">
        <v>1</v>
      </c>
      <c r="E20" s="4">
        <v>201</v>
      </c>
      <c r="F20" s="4">
        <v>2254886.98</v>
      </c>
      <c r="G20" s="4" t="s">
        <v>42</v>
      </c>
      <c r="H20" s="4" t="s">
        <v>43</v>
      </c>
      <c r="I20" s="4"/>
      <c r="J20" s="4"/>
      <c r="K20" s="4">
        <v>201</v>
      </c>
      <c r="L20" s="4">
        <v>1</v>
      </c>
      <c r="M20" s="4">
        <v>3</v>
      </c>
      <c r="N20" s="4" t="s">
        <v>3</v>
      </c>
      <c r="O20" s="4">
        <v>2</v>
      </c>
      <c r="P20" s="4"/>
    </row>
    <row r="21" spans="1:19" x14ac:dyDescent="0.2">
      <c r="A21" s="4">
        <v>50</v>
      </c>
      <c r="B21" s="4">
        <v>0</v>
      </c>
      <c r="C21" s="4">
        <v>0</v>
      </c>
      <c r="D21" s="4">
        <v>1</v>
      </c>
      <c r="E21" s="4">
        <v>202</v>
      </c>
      <c r="F21" s="4">
        <v>2241244.85</v>
      </c>
      <c r="G21" s="4" t="s">
        <v>44</v>
      </c>
      <c r="H21" s="4" t="s">
        <v>45</v>
      </c>
      <c r="I21" s="4"/>
      <c r="J21" s="4"/>
      <c r="K21" s="4">
        <v>202</v>
      </c>
      <c r="L21" s="4">
        <v>2</v>
      </c>
      <c r="M21" s="4">
        <v>3</v>
      </c>
      <c r="N21" s="4" t="s">
        <v>3</v>
      </c>
      <c r="O21" s="4">
        <v>2</v>
      </c>
      <c r="P21" s="4"/>
    </row>
    <row r="22" spans="1:19" x14ac:dyDescent="0.2">
      <c r="A22" s="4">
        <v>50</v>
      </c>
      <c r="B22" s="4">
        <v>0</v>
      </c>
      <c r="C22" s="4">
        <v>0</v>
      </c>
      <c r="D22" s="4">
        <v>1</v>
      </c>
      <c r="E22" s="4">
        <v>222</v>
      </c>
      <c r="F22" s="4">
        <v>0</v>
      </c>
      <c r="G22" s="4" t="s">
        <v>46</v>
      </c>
      <c r="H22" s="4" t="s">
        <v>47</v>
      </c>
      <c r="I22" s="4"/>
      <c r="J22" s="4"/>
      <c r="K22" s="4">
        <v>222</v>
      </c>
      <c r="L22" s="4">
        <v>3</v>
      </c>
      <c r="M22" s="4">
        <v>3</v>
      </c>
      <c r="N22" s="4" t="s">
        <v>3</v>
      </c>
      <c r="O22" s="4">
        <v>2</v>
      </c>
      <c r="P22" s="4"/>
    </row>
    <row r="23" spans="1:19" x14ac:dyDescent="0.2">
      <c r="A23" s="4">
        <v>50</v>
      </c>
      <c r="B23" s="4">
        <v>0</v>
      </c>
      <c r="C23" s="4">
        <v>0</v>
      </c>
      <c r="D23" s="4">
        <v>1</v>
      </c>
      <c r="E23" s="4">
        <v>225</v>
      </c>
      <c r="F23" s="4">
        <v>2241244.85</v>
      </c>
      <c r="G23" s="4" t="s">
        <v>48</v>
      </c>
      <c r="H23" s="4" t="s">
        <v>49</v>
      </c>
      <c r="I23" s="4"/>
      <c r="J23" s="4"/>
      <c r="K23" s="4">
        <v>225</v>
      </c>
      <c r="L23" s="4">
        <v>4</v>
      </c>
      <c r="M23" s="4">
        <v>3</v>
      </c>
      <c r="N23" s="4" t="s">
        <v>3</v>
      </c>
      <c r="O23" s="4">
        <v>2</v>
      </c>
      <c r="P23" s="4"/>
    </row>
    <row r="24" spans="1:19" x14ac:dyDescent="0.2">
      <c r="A24" s="4">
        <v>50</v>
      </c>
      <c r="B24" s="4">
        <v>0</v>
      </c>
      <c r="C24" s="4">
        <v>0</v>
      </c>
      <c r="D24" s="4">
        <v>1</v>
      </c>
      <c r="E24" s="4">
        <v>226</v>
      </c>
      <c r="F24" s="4">
        <v>2241244.85</v>
      </c>
      <c r="G24" s="4" t="s">
        <v>50</v>
      </c>
      <c r="H24" s="4" t="s">
        <v>51</v>
      </c>
      <c r="I24" s="4"/>
      <c r="J24" s="4"/>
      <c r="K24" s="4">
        <v>226</v>
      </c>
      <c r="L24" s="4">
        <v>5</v>
      </c>
      <c r="M24" s="4">
        <v>3</v>
      </c>
      <c r="N24" s="4" t="s">
        <v>3</v>
      </c>
      <c r="O24" s="4">
        <v>2</v>
      </c>
      <c r="P24" s="4"/>
    </row>
    <row r="25" spans="1:19" x14ac:dyDescent="0.2">
      <c r="A25" s="4">
        <v>50</v>
      </c>
      <c r="B25" s="4">
        <v>0</v>
      </c>
      <c r="C25" s="4">
        <v>0</v>
      </c>
      <c r="D25" s="4">
        <v>1</v>
      </c>
      <c r="E25" s="4">
        <v>227</v>
      </c>
      <c r="F25" s="4">
        <v>0</v>
      </c>
      <c r="G25" s="4" t="s">
        <v>52</v>
      </c>
      <c r="H25" s="4" t="s">
        <v>53</v>
      </c>
      <c r="I25" s="4"/>
      <c r="J25" s="4"/>
      <c r="K25" s="4">
        <v>227</v>
      </c>
      <c r="L25" s="4">
        <v>6</v>
      </c>
      <c r="M25" s="4">
        <v>3</v>
      </c>
      <c r="N25" s="4" t="s">
        <v>3</v>
      </c>
      <c r="O25" s="4">
        <v>2</v>
      </c>
      <c r="P25" s="4"/>
    </row>
    <row r="26" spans="1:19" x14ac:dyDescent="0.2">
      <c r="A26" s="4">
        <v>50</v>
      </c>
      <c r="B26" s="4">
        <v>0</v>
      </c>
      <c r="C26" s="4">
        <v>0</v>
      </c>
      <c r="D26" s="4">
        <v>1</v>
      </c>
      <c r="E26" s="4">
        <v>228</v>
      </c>
      <c r="F26" s="4">
        <v>2241244.85</v>
      </c>
      <c r="G26" s="4" t="s">
        <v>54</v>
      </c>
      <c r="H26" s="4" t="s">
        <v>55</v>
      </c>
      <c r="I26" s="4"/>
      <c r="J26" s="4"/>
      <c r="K26" s="4">
        <v>228</v>
      </c>
      <c r="L26" s="4">
        <v>7</v>
      </c>
      <c r="M26" s="4">
        <v>3</v>
      </c>
      <c r="N26" s="4" t="s">
        <v>3</v>
      </c>
      <c r="O26" s="4">
        <v>2</v>
      </c>
      <c r="P26" s="4"/>
    </row>
    <row r="27" spans="1:19" x14ac:dyDescent="0.2">
      <c r="A27" s="4">
        <v>50</v>
      </c>
      <c r="B27" s="4">
        <v>0</v>
      </c>
      <c r="C27" s="4">
        <v>0</v>
      </c>
      <c r="D27" s="4">
        <v>1</v>
      </c>
      <c r="E27" s="4">
        <v>216</v>
      </c>
      <c r="F27" s="4">
        <v>0</v>
      </c>
      <c r="G27" s="4" t="s">
        <v>56</v>
      </c>
      <c r="H27" s="4" t="s">
        <v>57</v>
      </c>
      <c r="I27" s="4"/>
      <c r="J27" s="4"/>
      <c r="K27" s="4">
        <v>216</v>
      </c>
      <c r="L27" s="4">
        <v>8</v>
      </c>
      <c r="M27" s="4">
        <v>3</v>
      </c>
      <c r="N27" s="4" t="s">
        <v>3</v>
      </c>
      <c r="O27" s="4">
        <v>2</v>
      </c>
      <c r="P27" s="4"/>
    </row>
    <row r="28" spans="1:19" x14ac:dyDescent="0.2">
      <c r="A28" s="4">
        <v>50</v>
      </c>
      <c r="B28" s="4">
        <v>0</v>
      </c>
      <c r="C28" s="4">
        <v>0</v>
      </c>
      <c r="D28" s="4">
        <v>1</v>
      </c>
      <c r="E28" s="4">
        <v>223</v>
      </c>
      <c r="F28" s="4">
        <v>0</v>
      </c>
      <c r="G28" s="4" t="s">
        <v>58</v>
      </c>
      <c r="H28" s="4" t="s">
        <v>59</v>
      </c>
      <c r="I28" s="4"/>
      <c r="J28" s="4"/>
      <c r="K28" s="4">
        <v>223</v>
      </c>
      <c r="L28" s="4">
        <v>9</v>
      </c>
      <c r="M28" s="4">
        <v>3</v>
      </c>
      <c r="N28" s="4" t="s">
        <v>3</v>
      </c>
      <c r="O28" s="4">
        <v>2</v>
      </c>
      <c r="P28" s="4"/>
    </row>
    <row r="29" spans="1:19" x14ac:dyDescent="0.2">
      <c r="A29" s="4">
        <v>50</v>
      </c>
      <c r="B29" s="4">
        <v>0</v>
      </c>
      <c r="C29" s="4">
        <v>0</v>
      </c>
      <c r="D29" s="4">
        <v>1</v>
      </c>
      <c r="E29" s="4">
        <v>229</v>
      </c>
      <c r="F29" s="4">
        <v>0</v>
      </c>
      <c r="G29" s="4" t="s">
        <v>60</v>
      </c>
      <c r="H29" s="4" t="s">
        <v>61</v>
      </c>
      <c r="I29" s="4"/>
      <c r="J29" s="4"/>
      <c r="K29" s="4">
        <v>229</v>
      </c>
      <c r="L29" s="4">
        <v>10</v>
      </c>
      <c r="M29" s="4">
        <v>3</v>
      </c>
      <c r="N29" s="4" t="s">
        <v>3</v>
      </c>
      <c r="O29" s="4">
        <v>2</v>
      </c>
      <c r="P29" s="4"/>
    </row>
    <row r="30" spans="1:19" x14ac:dyDescent="0.2">
      <c r="A30" s="4">
        <v>50</v>
      </c>
      <c r="B30" s="4">
        <v>0</v>
      </c>
      <c r="C30" s="4">
        <v>0</v>
      </c>
      <c r="D30" s="4">
        <v>1</v>
      </c>
      <c r="E30" s="4">
        <v>203</v>
      </c>
      <c r="F30" s="4">
        <v>739.84</v>
      </c>
      <c r="G30" s="4" t="s">
        <v>62</v>
      </c>
      <c r="H30" s="4" t="s">
        <v>63</v>
      </c>
      <c r="I30" s="4"/>
      <c r="J30" s="4"/>
      <c r="K30" s="4">
        <v>203</v>
      </c>
      <c r="L30" s="4">
        <v>11</v>
      </c>
      <c r="M30" s="4">
        <v>3</v>
      </c>
      <c r="N30" s="4" t="s">
        <v>3</v>
      </c>
      <c r="O30" s="4">
        <v>2</v>
      </c>
      <c r="P30" s="4"/>
    </row>
    <row r="31" spans="1:19" x14ac:dyDescent="0.2">
      <c r="A31" s="4">
        <v>50</v>
      </c>
      <c r="B31" s="4">
        <v>0</v>
      </c>
      <c r="C31" s="4">
        <v>0</v>
      </c>
      <c r="D31" s="4">
        <v>1</v>
      </c>
      <c r="E31" s="4">
        <v>231</v>
      </c>
      <c r="F31" s="4">
        <v>0</v>
      </c>
      <c r="G31" s="4" t="s">
        <v>64</v>
      </c>
      <c r="H31" s="4" t="s">
        <v>65</v>
      </c>
      <c r="I31" s="4"/>
      <c r="J31" s="4"/>
      <c r="K31" s="4">
        <v>231</v>
      </c>
      <c r="L31" s="4">
        <v>12</v>
      </c>
      <c r="M31" s="4">
        <v>3</v>
      </c>
      <c r="N31" s="4" t="s">
        <v>3</v>
      </c>
      <c r="O31" s="4">
        <v>2</v>
      </c>
      <c r="P31" s="4"/>
    </row>
    <row r="32" spans="1:19" x14ac:dyDescent="0.2">
      <c r="A32" s="4">
        <v>50</v>
      </c>
      <c r="B32" s="4">
        <v>0</v>
      </c>
      <c r="C32" s="4">
        <v>0</v>
      </c>
      <c r="D32" s="4">
        <v>1</v>
      </c>
      <c r="E32" s="4">
        <v>204</v>
      </c>
      <c r="F32" s="4">
        <v>0</v>
      </c>
      <c r="G32" s="4" t="s">
        <v>66</v>
      </c>
      <c r="H32" s="4" t="s">
        <v>67</v>
      </c>
      <c r="I32" s="4"/>
      <c r="J32" s="4"/>
      <c r="K32" s="4">
        <v>204</v>
      </c>
      <c r="L32" s="4">
        <v>13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205</v>
      </c>
      <c r="F33" s="4">
        <v>12902.29</v>
      </c>
      <c r="G33" s="4" t="s">
        <v>68</v>
      </c>
      <c r="H33" s="4" t="s">
        <v>69</v>
      </c>
      <c r="I33" s="4"/>
      <c r="J33" s="4"/>
      <c r="K33" s="4">
        <v>205</v>
      </c>
      <c r="L33" s="4">
        <v>14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232</v>
      </c>
      <c r="F34" s="4">
        <v>0</v>
      </c>
      <c r="G34" s="4" t="s">
        <v>70</v>
      </c>
      <c r="H34" s="4" t="s">
        <v>71</v>
      </c>
      <c r="I34" s="4"/>
      <c r="J34" s="4"/>
      <c r="K34" s="4">
        <v>232</v>
      </c>
      <c r="L34" s="4">
        <v>15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214</v>
      </c>
      <c r="F35" s="4">
        <v>2278111.11</v>
      </c>
      <c r="G35" s="4" t="s">
        <v>72</v>
      </c>
      <c r="H35" s="4" t="s">
        <v>73</v>
      </c>
      <c r="I35" s="4"/>
      <c r="J35" s="4"/>
      <c r="K35" s="4">
        <v>214</v>
      </c>
      <c r="L35" s="4">
        <v>16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215</v>
      </c>
      <c r="F36" s="4">
        <v>0</v>
      </c>
      <c r="G36" s="4" t="s">
        <v>74</v>
      </c>
      <c r="H36" s="4" t="s">
        <v>75</v>
      </c>
      <c r="I36" s="4"/>
      <c r="J36" s="4"/>
      <c r="K36" s="4">
        <v>215</v>
      </c>
      <c r="L36" s="4">
        <v>17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217</v>
      </c>
      <c r="F37" s="4">
        <v>0</v>
      </c>
      <c r="G37" s="4" t="s">
        <v>76</v>
      </c>
      <c r="H37" s="4" t="s">
        <v>77</v>
      </c>
      <c r="I37" s="4"/>
      <c r="J37" s="4"/>
      <c r="K37" s="4">
        <v>217</v>
      </c>
      <c r="L37" s="4">
        <v>18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230</v>
      </c>
      <c r="F38" s="4">
        <v>0</v>
      </c>
      <c r="G38" s="4" t="s">
        <v>78</v>
      </c>
      <c r="H38" s="4" t="s">
        <v>79</v>
      </c>
      <c r="I38" s="4"/>
      <c r="J38" s="4"/>
      <c r="K38" s="4">
        <v>230</v>
      </c>
      <c r="L38" s="4">
        <v>19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206</v>
      </c>
      <c r="F39" s="4">
        <v>0</v>
      </c>
      <c r="G39" s="4" t="s">
        <v>80</v>
      </c>
      <c r="H39" s="4" t="s">
        <v>81</v>
      </c>
      <c r="I39" s="4"/>
      <c r="J39" s="4"/>
      <c r="K39" s="4">
        <v>206</v>
      </c>
      <c r="L39" s="4">
        <v>20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207</v>
      </c>
      <c r="F40" s="4">
        <v>43.722000000000001</v>
      </c>
      <c r="G40" s="4" t="s">
        <v>82</v>
      </c>
      <c r="H40" s="4" t="s">
        <v>83</v>
      </c>
      <c r="I40" s="4"/>
      <c r="J40" s="4"/>
      <c r="K40" s="4">
        <v>207</v>
      </c>
      <c r="L40" s="4">
        <v>21</v>
      </c>
      <c r="M40" s="4">
        <v>3</v>
      </c>
      <c r="N40" s="4" t="s">
        <v>3</v>
      </c>
      <c r="O40" s="4">
        <v>-1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208</v>
      </c>
      <c r="F41" s="4">
        <v>0</v>
      </c>
      <c r="G41" s="4" t="s">
        <v>84</v>
      </c>
      <c r="H41" s="4" t="s">
        <v>85</v>
      </c>
      <c r="I41" s="4"/>
      <c r="J41" s="4"/>
      <c r="K41" s="4">
        <v>208</v>
      </c>
      <c r="L41" s="4">
        <v>22</v>
      </c>
      <c r="M41" s="4">
        <v>3</v>
      </c>
      <c r="N41" s="4" t="s">
        <v>3</v>
      </c>
      <c r="O41" s="4">
        <v>-1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209</v>
      </c>
      <c r="F42" s="4">
        <v>0</v>
      </c>
      <c r="G42" s="4" t="s">
        <v>86</v>
      </c>
      <c r="H42" s="4" t="s">
        <v>87</v>
      </c>
      <c r="I42" s="4"/>
      <c r="J42" s="4"/>
      <c r="K42" s="4">
        <v>209</v>
      </c>
      <c r="L42" s="4">
        <v>23</v>
      </c>
      <c r="M42" s="4">
        <v>3</v>
      </c>
      <c r="N42" s="4" t="s">
        <v>3</v>
      </c>
      <c r="O42" s="4">
        <v>2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233</v>
      </c>
      <c r="F43" s="4">
        <v>0</v>
      </c>
      <c r="G43" s="4" t="s">
        <v>88</v>
      </c>
      <c r="H43" s="4" t="s">
        <v>89</v>
      </c>
      <c r="I43" s="4"/>
      <c r="J43" s="4"/>
      <c r="K43" s="4">
        <v>233</v>
      </c>
      <c r="L43" s="4">
        <v>24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210</v>
      </c>
      <c r="F44" s="4">
        <v>15998.84</v>
      </c>
      <c r="G44" s="4" t="s">
        <v>90</v>
      </c>
      <c r="H44" s="4" t="s">
        <v>91</v>
      </c>
      <c r="I44" s="4"/>
      <c r="J44" s="4"/>
      <c r="K44" s="4">
        <v>210</v>
      </c>
      <c r="L44" s="4">
        <v>25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211</v>
      </c>
      <c r="F45" s="4">
        <v>7225.29</v>
      </c>
      <c r="G45" s="4" t="s">
        <v>92</v>
      </c>
      <c r="H45" s="4" t="s">
        <v>93</v>
      </c>
      <c r="I45" s="4"/>
      <c r="J45" s="4"/>
      <c r="K45" s="4">
        <v>211</v>
      </c>
      <c r="L45" s="4">
        <v>26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224</v>
      </c>
      <c r="F46" s="4">
        <v>2278111.11</v>
      </c>
      <c r="G46" s="4" t="s">
        <v>94</v>
      </c>
      <c r="H46" s="4" t="s">
        <v>95</v>
      </c>
      <c r="I46" s="4"/>
      <c r="J46" s="4"/>
      <c r="K46" s="4">
        <v>224</v>
      </c>
      <c r="L46" s="4">
        <v>27</v>
      </c>
      <c r="M46" s="4">
        <v>3</v>
      </c>
      <c r="N46" s="4" t="s">
        <v>3</v>
      </c>
      <c r="O46" s="4">
        <v>2</v>
      </c>
      <c r="P46" s="4"/>
    </row>
    <row r="48" spans="1:16" x14ac:dyDescent="0.2">
      <c r="A48">
        <v>-1</v>
      </c>
    </row>
    <row r="51" spans="1:27" x14ac:dyDescent="0.2">
      <c r="A51" s="3">
        <v>75</v>
      </c>
      <c r="B51" s="3" t="s">
        <v>96</v>
      </c>
      <c r="C51" s="3">
        <v>2020</v>
      </c>
      <c r="D51" s="3">
        <v>0</v>
      </c>
      <c r="E51" s="3">
        <v>10</v>
      </c>
      <c r="F51" s="3"/>
      <c r="G51" s="3">
        <v>0</v>
      </c>
      <c r="H51" s="3">
        <v>2</v>
      </c>
      <c r="I51" s="3">
        <v>1</v>
      </c>
      <c r="J51" s="3">
        <v>1</v>
      </c>
      <c r="K51" s="3">
        <v>93</v>
      </c>
      <c r="L51" s="3">
        <v>64</v>
      </c>
      <c r="M51" s="3">
        <v>0</v>
      </c>
      <c r="N51" s="3">
        <v>44887815</v>
      </c>
      <c r="O51" s="3">
        <v>1</v>
      </c>
    </row>
    <row r="52" spans="1:27" x14ac:dyDescent="0.2">
      <c r="A52" s="5">
        <v>1</v>
      </c>
      <c r="B52" s="5" t="s">
        <v>97</v>
      </c>
      <c r="C52" s="5" t="s">
        <v>98</v>
      </c>
      <c r="D52" s="5">
        <v>2020</v>
      </c>
      <c r="E52" s="5">
        <v>10</v>
      </c>
      <c r="F52" s="5">
        <v>1</v>
      </c>
      <c r="G52" s="5">
        <v>1</v>
      </c>
      <c r="H52" s="5">
        <v>0</v>
      </c>
      <c r="I52" s="5">
        <v>2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99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7" x14ac:dyDescent="0.2">
      <c r="A1">
        <f>ROW(Source!A24)</f>
        <v>24</v>
      </c>
      <c r="B1">
        <v>44887815</v>
      </c>
      <c r="C1">
        <v>44887820</v>
      </c>
      <c r="D1">
        <v>30515951</v>
      </c>
      <c r="E1">
        <v>30515945</v>
      </c>
      <c r="F1">
        <v>1</v>
      </c>
      <c r="G1">
        <v>30515945</v>
      </c>
      <c r="H1">
        <v>1</v>
      </c>
      <c r="I1" t="s">
        <v>101</v>
      </c>
      <c r="J1" t="s">
        <v>3</v>
      </c>
      <c r="K1" t="s">
        <v>102</v>
      </c>
      <c r="L1">
        <v>1191</v>
      </c>
      <c r="N1">
        <v>1013</v>
      </c>
      <c r="O1" t="s">
        <v>103</v>
      </c>
      <c r="P1" t="s">
        <v>103</v>
      </c>
      <c r="Q1">
        <v>1</v>
      </c>
      <c r="W1">
        <v>0</v>
      </c>
      <c r="X1">
        <v>476480486</v>
      </c>
      <c r="Y1">
        <v>66.900000000000006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N1">
        <v>0</v>
      </c>
      <c r="AO1">
        <v>1</v>
      </c>
      <c r="AP1">
        <v>0</v>
      </c>
      <c r="AQ1">
        <v>0</v>
      </c>
      <c r="AR1">
        <v>0</v>
      </c>
      <c r="AS1" t="s">
        <v>3</v>
      </c>
      <c r="AT1">
        <v>66.900000000000006</v>
      </c>
      <c r="AU1" t="s">
        <v>3</v>
      </c>
      <c r="AV1">
        <v>1</v>
      </c>
      <c r="AW1">
        <v>2</v>
      </c>
      <c r="AX1">
        <v>44887827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X1">
        <f>Y1*Source!I24</f>
        <v>13.380000000000003</v>
      </c>
      <c r="CY1">
        <f>AD1</f>
        <v>0</v>
      </c>
      <c r="CZ1">
        <f>AH1</f>
        <v>0</v>
      </c>
      <c r="DA1">
        <f>AL1</f>
        <v>1</v>
      </c>
      <c r="DB1">
        <f t="shared" ref="DB1:DB13" si="0">ROUND(ROUND(AT1*CZ1,2),6)</f>
        <v>0</v>
      </c>
      <c r="DC1">
        <f t="shared" ref="DC1:DC13" si="1">ROUND(ROUND(AT1*AG1,2),6)</f>
        <v>0</v>
      </c>
    </row>
    <row r="2" spans="1:107" x14ac:dyDescent="0.2">
      <c r="A2">
        <f>ROW(Source!A24)</f>
        <v>24</v>
      </c>
      <c r="B2">
        <v>44887815</v>
      </c>
      <c r="C2">
        <v>44887820</v>
      </c>
      <c r="D2">
        <v>30595787</v>
      </c>
      <c r="E2">
        <v>1</v>
      </c>
      <c r="F2">
        <v>1</v>
      </c>
      <c r="G2">
        <v>30515945</v>
      </c>
      <c r="H2">
        <v>2</v>
      </c>
      <c r="I2" t="s">
        <v>104</v>
      </c>
      <c r="J2" t="s">
        <v>105</v>
      </c>
      <c r="K2" t="s">
        <v>106</v>
      </c>
      <c r="L2">
        <v>1367</v>
      </c>
      <c r="N2">
        <v>1011</v>
      </c>
      <c r="O2" t="s">
        <v>107</v>
      </c>
      <c r="P2" t="s">
        <v>107</v>
      </c>
      <c r="Q2">
        <v>1</v>
      </c>
      <c r="W2">
        <v>0</v>
      </c>
      <c r="X2">
        <v>1295654915</v>
      </c>
      <c r="Y2">
        <v>24</v>
      </c>
      <c r="AA2">
        <v>0</v>
      </c>
      <c r="AB2">
        <v>57.11</v>
      </c>
      <c r="AC2">
        <v>0</v>
      </c>
      <c r="AD2">
        <v>0</v>
      </c>
      <c r="AE2">
        <v>0</v>
      </c>
      <c r="AF2">
        <v>4.8600000000000003</v>
      </c>
      <c r="AG2">
        <v>0</v>
      </c>
      <c r="AH2">
        <v>0</v>
      </c>
      <c r="AI2">
        <v>1</v>
      </c>
      <c r="AJ2">
        <v>10.81</v>
      </c>
      <c r="AK2">
        <v>24.53</v>
      </c>
      <c r="AL2">
        <v>1</v>
      </c>
      <c r="AN2">
        <v>0</v>
      </c>
      <c r="AO2">
        <v>1</v>
      </c>
      <c r="AP2">
        <v>0</v>
      </c>
      <c r="AQ2">
        <v>0</v>
      </c>
      <c r="AR2">
        <v>0</v>
      </c>
      <c r="AS2" t="s">
        <v>3</v>
      </c>
      <c r="AT2">
        <v>24</v>
      </c>
      <c r="AU2" t="s">
        <v>3</v>
      </c>
      <c r="AV2">
        <v>0</v>
      </c>
      <c r="AW2">
        <v>2</v>
      </c>
      <c r="AX2">
        <v>44887828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X2">
        <f>Y2*Source!I24</f>
        <v>4.8000000000000007</v>
      </c>
      <c r="CY2">
        <f>AB2</f>
        <v>57.11</v>
      </c>
      <c r="CZ2">
        <f>AF2</f>
        <v>4.8600000000000003</v>
      </c>
      <c r="DA2">
        <f>AJ2</f>
        <v>10.81</v>
      </c>
      <c r="DB2">
        <f t="shared" si="0"/>
        <v>116.64</v>
      </c>
      <c r="DC2">
        <f t="shared" si="1"/>
        <v>0</v>
      </c>
    </row>
    <row r="3" spans="1:107" x14ac:dyDescent="0.2">
      <c r="A3">
        <f>ROW(Source!A24)</f>
        <v>24</v>
      </c>
      <c r="B3">
        <v>44887815</v>
      </c>
      <c r="C3">
        <v>44887820</v>
      </c>
      <c r="D3">
        <v>30572493</v>
      </c>
      <c r="E3">
        <v>1</v>
      </c>
      <c r="F3">
        <v>1</v>
      </c>
      <c r="G3">
        <v>30515945</v>
      </c>
      <c r="H3">
        <v>3</v>
      </c>
      <c r="I3" t="s">
        <v>108</v>
      </c>
      <c r="J3" t="s">
        <v>109</v>
      </c>
      <c r="K3" t="s">
        <v>110</v>
      </c>
      <c r="L3">
        <v>1348</v>
      </c>
      <c r="N3">
        <v>1009</v>
      </c>
      <c r="O3" t="s">
        <v>111</v>
      </c>
      <c r="P3" t="s">
        <v>111</v>
      </c>
      <c r="Q3">
        <v>1000</v>
      </c>
      <c r="W3">
        <v>0</v>
      </c>
      <c r="X3">
        <v>1310716689</v>
      </c>
      <c r="Y3">
        <v>2.7E-2</v>
      </c>
      <c r="AA3">
        <v>88075.44</v>
      </c>
      <c r="AB3">
        <v>0</v>
      </c>
      <c r="AC3">
        <v>0</v>
      </c>
      <c r="AD3">
        <v>0</v>
      </c>
      <c r="AE3">
        <v>7191.81</v>
      </c>
      <c r="AF3">
        <v>0</v>
      </c>
      <c r="AG3">
        <v>0</v>
      </c>
      <c r="AH3">
        <v>0</v>
      </c>
      <c r="AI3">
        <v>12.21</v>
      </c>
      <c r="AJ3">
        <v>1</v>
      </c>
      <c r="AK3">
        <v>1</v>
      </c>
      <c r="AL3">
        <v>1</v>
      </c>
      <c r="AN3">
        <v>0</v>
      </c>
      <c r="AO3">
        <v>1</v>
      </c>
      <c r="AP3">
        <v>0</v>
      </c>
      <c r="AQ3">
        <v>0</v>
      </c>
      <c r="AR3">
        <v>0</v>
      </c>
      <c r="AS3" t="s">
        <v>3</v>
      </c>
      <c r="AT3">
        <v>2.7E-2</v>
      </c>
      <c r="AU3" t="s">
        <v>3</v>
      </c>
      <c r="AV3">
        <v>0</v>
      </c>
      <c r="AW3">
        <v>2</v>
      </c>
      <c r="AX3">
        <v>44887829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X3">
        <f>Y3*Source!I24</f>
        <v>5.4000000000000003E-3</v>
      </c>
      <c r="CY3">
        <f>AA3</f>
        <v>88075.44</v>
      </c>
      <c r="CZ3">
        <f>AE3</f>
        <v>7191.81</v>
      </c>
      <c r="DA3">
        <f>AI3</f>
        <v>12.21</v>
      </c>
      <c r="DB3">
        <f t="shared" si="0"/>
        <v>194.18</v>
      </c>
      <c r="DC3">
        <f t="shared" si="1"/>
        <v>0</v>
      </c>
    </row>
    <row r="4" spans="1:107" x14ac:dyDescent="0.2">
      <c r="A4">
        <f>ROW(Source!A24)</f>
        <v>24</v>
      </c>
      <c r="B4">
        <v>44887815</v>
      </c>
      <c r="C4">
        <v>44887820</v>
      </c>
      <c r="D4">
        <v>30589691</v>
      </c>
      <c r="E4">
        <v>1</v>
      </c>
      <c r="F4">
        <v>1</v>
      </c>
      <c r="G4">
        <v>30515945</v>
      </c>
      <c r="H4">
        <v>3</v>
      </c>
      <c r="I4" t="s">
        <v>112</v>
      </c>
      <c r="J4" t="s">
        <v>113</v>
      </c>
      <c r="K4" t="s">
        <v>114</v>
      </c>
      <c r="L4">
        <v>1339</v>
      </c>
      <c r="N4">
        <v>1007</v>
      </c>
      <c r="O4" t="s">
        <v>115</v>
      </c>
      <c r="P4" t="s">
        <v>115</v>
      </c>
      <c r="Q4">
        <v>1</v>
      </c>
      <c r="W4">
        <v>0</v>
      </c>
      <c r="X4">
        <v>-718781615</v>
      </c>
      <c r="Y4">
        <v>1.94</v>
      </c>
      <c r="AA4">
        <v>3316.78</v>
      </c>
      <c r="AB4">
        <v>0</v>
      </c>
      <c r="AC4">
        <v>0</v>
      </c>
      <c r="AD4">
        <v>0</v>
      </c>
      <c r="AE4">
        <v>451.14</v>
      </c>
      <c r="AF4">
        <v>0</v>
      </c>
      <c r="AG4">
        <v>0</v>
      </c>
      <c r="AH4">
        <v>0</v>
      </c>
      <c r="AI4">
        <v>7.33</v>
      </c>
      <c r="AJ4">
        <v>1</v>
      </c>
      <c r="AK4">
        <v>1</v>
      </c>
      <c r="AL4">
        <v>1</v>
      </c>
      <c r="AN4">
        <v>0</v>
      </c>
      <c r="AO4">
        <v>1</v>
      </c>
      <c r="AP4">
        <v>0</v>
      </c>
      <c r="AQ4">
        <v>0</v>
      </c>
      <c r="AR4">
        <v>0</v>
      </c>
      <c r="AS4" t="s">
        <v>3</v>
      </c>
      <c r="AT4">
        <v>1.94</v>
      </c>
      <c r="AU4" t="s">
        <v>3</v>
      </c>
      <c r="AV4">
        <v>0</v>
      </c>
      <c r="AW4">
        <v>2</v>
      </c>
      <c r="AX4">
        <v>44887830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X4">
        <f>Y4*Source!I24</f>
        <v>0.38800000000000001</v>
      </c>
      <c r="CY4">
        <f>AA4</f>
        <v>3316.78</v>
      </c>
      <c r="CZ4">
        <f>AE4</f>
        <v>451.14</v>
      </c>
      <c r="DA4">
        <f>AI4</f>
        <v>7.33</v>
      </c>
      <c r="DB4">
        <f t="shared" si="0"/>
        <v>875.21</v>
      </c>
      <c r="DC4">
        <f t="shared" si="1"/>
        <v>0</v>
      </c>
    </row>
    <row r="5" spans="1:107" x14ac:dyDescent="0.2">
      <c r="A5">
        <f>ROW(Source!A24)</f>
        <v>24</v>
      </c>
      <c r="B5">
        <v>44887815</v>
      </c>
      <c r="C5">
        <v>44887820</v>
      </c>
      <c r="D5">
        <v>0</v>
      </c>
      <c r="E5">
        <v>0</v>
      </c>
      <c r="F5">
        <v>1</v>
      </c>
      <c r="G5">
        <v>30515945</v>
      </c>
      <c r="H5">
        <v>3</v>
      </c>
      <c r="I5" t="s">
        <v>22</v>
      </c>
      <c r="J5" t="s">
        <v>3</v>
      </c>
      <c r="K5" t="s">
        <v>23</v>
      </c>
      <c r="L5">
        <v>1354</v>
      </c>
      <c r="N5">
        <v>1010</v>
      </c>
      <c r="O5" t="s">
        <v>24</v>
      </c>
      <c r="P5" t="s">
        <v>24</v>
      </c>
      <c r="Q5">
        <v>1</v>
      </c>
      <c r="W5">
        <v>0</v>
      </c>
      <c r="X5">
        <v>1342093602</v>
      </c>
      <c r="Y5">
        <v>60</v>
      </c>
      <c r="AA5">
        <v>44483.06</v>
      </c>
      <c r="AB5">
        <v>0</v>
      </c>
      <c r="AC5">
        <v>0</v>
      </c>
      <c r="AD5">
        <v>0</v>
      </c>
      <c r="AE5">
        <v>7948.03</v>
      </c>
      <c r="AF5">
        <v>0</v>
      </c>
      <c r="AG5">
        <v>0</v>
      </c>
      <c r="AH5">
        <v>0</v>
      </c>
      <c r="AI5">
        <v>5.58</v>
      </c>
      <c r="AJ5">
        <v>1</v>
      </c>
      <c r="AK5">
        <v>1</v>
      </c>
      <c r="AL5">
        <v>1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3</v>
      </c>
      <c r="AT5">
        <v>60</v>
      </c>
      <c r="AU5" t="s">
        <v>3</v>
      </c>
      <c r="AV5">
        <v>0</v>
      </c>
      <c r="AW5">
        <v>1</v>
      </c>
      <c r="AX5">
        <v>-1</v>
      </c>
      <c r="AY5">
        <v>0</v>
      </c>
      <c r="AZ5">
        <v>0</v>
      </c>
      <c r="BA5" t="s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X5">
        <f>Y5*Source!I24</f>
        <v>12</v>
      </c>
      <c r="CY5">
        <f>AA5</f>
        <v>44483.06</v>
      </c>
      <c r="CZ5">
        <f>AE5</f>
        <v>7948.03</v>
      </c>
      <c r="DA5">
        <f>AI5</f>
        <v>5.58</v>
      </c>
      <c r="DB5">
        <f t="shared" si="0"/>
        <v>476881.8</v>
      </c>
      <c r="DC5">
        <f t="shared" si="1"/>
        <v>0</v>
      </c>
    </row>
    <row r="6" spans="1:107" x14ac:dyDescent="0.2">
      <c r="A6">
        <f>ROW(Source!A24)</f>
        <v>24</v>
      </c>
      <c r="B6">
        <v>44887815</v>
      </c>
      <c r="C6">
        <v>44887820</v>
      </c>
      <c r="D6">
        <v>0</v>
      </c>
      <c r="E6">
        <v>30515945</v>
      </c>
      <c r="F6">
        <v>1</v>
      </c>
      <c r="G6">
        <v>30515945</v>
      </c>
      <c r="H6">
        <v>3</v>
      </c>
      <c r="I6" t="s">
        <v>22</v>
      </c>
      <c r="J6" t="s">
        <v>3</v>
      </c>
      <c r="K6" t="s">
        <v>27</v>
      </c>
      <c r="L6">
        <v>1354</v>
      </c>
      <c r="N6">
        <v>1010</v>
      </c>
      <c r="O6" t="s">
        <v>24</v>
      </c>
      <c r="P6" t="s">
        <v>24</v>
      </c>
      <c r="Q6">
        <v>1</v>
      </c>
      <c r="W6">
        <v>0</v>
      </c>
      <c r="X6">
        <v>-327971188</v>
      </c>
      <c r="Y6">
        <v>40</v>
      </c>
      <c r="AA6">
        <v>35180.21</v>
      </c>
      <c r="AB6">
        <v>0</v>
      </c>
      <c r="AC6">
        <v>0</v>
      </c>
      <c r="AD6">
        <v>0</v>
      </c>
      <c r="AE6">
        <v>6285.84</v>
      </c>
      <c r="AF6">
        <v>0</v>
      </c>
      <c r="AG6">
        <v>0</v>
      </c>
      <c r="AH6">
        <v>0</v>
      </c>
      <c r="AI6">
        <v>5.58</v>
      </c>
      <c r="AJ6">
        <v>1</v>
      </c>
      <c r="AK6">
        <v>1</v>
      </c>
      <c r="AL6">
        <v>1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3</v>
      </c>
      <c r="AT6">
        <v>40</v>
      </c>
      <c r="AU6" t="s">
        <v>3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X6">
        <f>Y6*Source!I24</f>
        <v>8</v>
      </c>
      <c r="CY6">
        <f>AA6</f>
        <v>35180.21</v>
      </c>
      <c r="CZ6">
        <f>AE6</f>
        <v>6285.84</v>
      </c>
      <c r="DA6">
        <f>AI6</f>
        <v>5.58</v>
      </c>
      <c r="DB6">
        <f t="shared" si="0"/>
        <v>251433.60000000001</v>
      </c>
      <c r="DC6">
        <f t="shared" si="1"/>
        <v>0</v>
      </c>
    </row>
    <row r="7" spans="1:107" x14ac:dyDescent="0.2">
      <c r="A7">
        <f>ROW(Source!A27)</f>
        <v>27</v>
      </c>
      <c r="B7">
        <v>44887815</v>
      </c>
      <c r="C7">
        <v>44887870</v>
      </c>
      <c r="D7">
        <v>30515951</v>
      </c>
      <c r="E7">
        <v>30515945</v>
      </c>
      <c r="F7">
        <v>1</v>
      </c>
      <c r="G7">
        <v>30515945</v>
      </c>
      <c r="H7">
        <v>1</v>
      </c>
      <c r="I7" t="s">
        <v>101</v>
      </c>
      <c r="J7" t="s">
        <v>3</v>
      </c>
      <c r="K7" t="s">
        <v>102</v>
      </c>
      <c r="L7">
        <v>1191</v>
      </c>
      <c r="N7">
        <v>1013</v>
      </c>
      <c r="O7" t="s">
        <v>103</v>
      </c>
      <c r="P7" t="s">
        <v>103</v>
      </c>
      <c r="Q7">
        <v>1</v>
      </c>
      <c r="W7">
        <v>0</v>
      </c>
      <c r="X7">
        <v>476480486</v>
      </c>
      <c r="Y7">
        <v>38.9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N7">
        <v>0</v>
      </c>
      <c r="AO7">
        <v>1</v>
      </c>
      <c r="AP7">
        <v>0</v>
      </c>
      <c r="AQ7">
        <v>0</v>
      </c>
      <c r="AR7">
        <v>0</v>
      </c>
      <c r="AS7" t="s">
        <v>3</v>
      </c>
      <c r="AT7">
        <v>38.9</v>
      </c>
      <c r="AU7" t="s">
        <v>3</v>
      </c>
      <c r="AV7">
        <v>1</v>
      </c>
      <c r="AW7">
        <v>2</v>
      </c>
      <c r="AX7">
        <v>44887877</v>
      </c>
      <c r="AY7">
        <v>1</v>
      </c>
      <c r="AZ7">
        <v>0</v>
      </c>
      <c r="BA7">
        <v>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X7">
        <f>Y7*Source!I27</f>
        <v>30.341999999999999</v>
      </c>
      <c r="CY7">
        <f>AD7</f>
        <v>0</v>
      </c>
      <c r="CZ7">
        <f>AH7</f>
        <v>0</v>
      </c>
      <c r="DA7">
        <f>AL7</f>
        <v>1</v>
      </c>
      <c r="DB7">
        <f t="shared" si="0"/>
        <v>0</v>
      </c>
      <c r="DC7">
        <f t="shared" si="1"/>
        <v>0</v>
      </c>
    </row>
    <row r="8" spans="1:107" x14ac:dyDescent="0.2">
      <c r="A8">
        <f>ROW(Source!A27)</f>
        <v>27</v>
      </c>
      <c r="B8">
        <v>44887815</v>
      </c>
      <c r="C8">
        <v>44887870</v>
      </c>
      <c r="D8">
        <v>30595787</v>
      </c>
      <c r="E8">
        <v>1</v>
      </c>
      <c r="F8">
        <v>1</v>
      </c>
      <c r="G8">
        <v>30515945</v>
      </c>
      <c r="H8">
        <v>2</v>
      </c>
      <c r="I8" t="s">
        <v>104</v>
      </c>
      <c r="J8" t="s">
        <v>105</v>
      </c>
      <c r="K8" t="s">
        <v>106</v>
      </c>
      <c r="L8">
        <v>1367</v>
      </c>
      <c r="N8">
        <v>1011</v>
      </c>
      <c r="O8" t="s">
        <v>107</v>
      </c>
      <c r="P8" t="s">
        <v>107</v>
      </c>
      <c r="Q8">
        <v>1</v>
      </c>
      <c r="W8">
        <v>0</v>
      </c>
      <c r="X8">
        <v>1295654915</v>
      </c>
      <c r="Y8">
        <v>11.9</v>
      </c>
      <c r="AA8">
        <v>0</v>
      </c>
      <c r="AB8">
        <v>57.11</v>
      </c>
      <c r="AC8">
        <v>0</v>
      </c>
      <c r="AD8">
        <v>0</v>
      </c>
      <c r="AE8">
        <v>0</v>
      </c>
      <c r="AF8">
        <v>4.8600000000000003</v>
      </c>
      <c r="AG8">
        <v>0</v>
      </c>
      <c r="AH8">
        <v>0</v>
      </c>
      <c r="AI8">
        <v>1</v>
      </c>
      <c r="AJ8">
        <v>10.81</v>
      </c>
      <c r="AK8">
        <v>24.53</v>
      </c>
      <c r="AL8">
        <v>1</v>
      </c>
      <c r="AN8">
        <v>0</v>
      </c>
      <c r="AO8">
        <v>1</v>
      </c>
      <c r="AP8">
        <v>0</v>
      </c>
      <c r="AQ8">
        <v>0</v>
      </c>
      <c r="AR8">
        <v>0</v>
      </c>
      <c r="AS8" t="s">
        <v>3</v>
      </c>
      <c r="AT8">
        <v>11.9</v>
      </c>
      <c r="AU8" t="s">
        <v>3</v>
      </c>
      <c r="AV8">
        <v>0</v>
      </c>
      <c r="AW8">
        <v>2</v>
      </c>
      <c r="AX8">
        <v>44887878</v>
      </c>
      <c r="AY8">
        <v>1</v>
      </c>
      <c r="AZ8">
        <v>0</v>
      </c>
      <c r="BA8">
        <v>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X8">
        <f>Y8*Source!I27</f>
        <v>9.282</v>
      </c>
      <c r="CY8">
        <f>AB8</f>
        <v>57.11</v>
      </c>
      <c r="CZ8">
        <f>AF8</f>
        <v>4.8600000000000003</v>
      </c>
      <c r="DA8">
        <f>AJ8</f>
        <v>10.81</v>
      </c>
      <c r="DB8">
        <f t="shared" si="0"/>
        <v>57.83</v>
      </c>
      <c r="DC8">
        <f t="shared" si="1"/>
        <v>0</v>
      </c>
    </row>
    <row r="9" spans="1:107" x14ac:dyDescent="0.2">
      <c r="A9">
        <f>ROW(Source!A27)</f>
        <v>27</v>
      </c>
      <c r="B9">
        <v>44887815</v>
      </c>
      <c r="C9">
        <v>44887870</v>
      </c>
      <c r="D9">
        <v>30572493</v>
      </c>
      <c r="E9">
        <v>1</v>
      </c>
      <c r="F9">
        <v>1</v>
      </c>
      <c r="G9">
        <v>30515945</v>
      </c>
      <c r="H9">
        <v>3</v>
      </c>
      <c r="I9" t="s">
        <v>108</v>
      </c>
      <c r="J9" t="s">
        <v>109</v>
      </c>
      <c r="K9" t="s">
        <v>110</v>
      </c>
      <c r="L9">
        <v>1348</v>
      </c>
      <c r="N9">
        <v>1009</v>
      </c>
      <c r="O9" t="s">
        <v>111</v>
      </c>
      <c r="P9" t="s">
        <v>111</v>
      </c>
      <c r="Q9">
        <v>1000</v>
      </c>
      <c r="W9">
        <v>0</v>
      </c>
      <c r="X9">
        <v>1310716689</v>
      </c>
      <c r="Y9">
        <v>0.01</v>
      </c>
      <c r="AA9">
        <v>88075.44</v>
      </c>
      <c r="AB9">
        <v>0</v>
      </c>
      <c r="AC9">
        <v>0</v>
      </c>
      <c r="AD9">
        <v>0</v>
      </c>
      <c r="AE9">
        <v>7191.81</v>
      </c>
      <c r="AF9">
        <v>0</v>
      </c>
      <c r="AG9">
        <v>0</v>
      </c>
      <c r="AH9">
        <v>0</v>
      </c>
      <c r="AI9">
        <v>12.21</v>
      </c>
      <c r="AJ9">
        <v>1</v>
      </c>
      <c r="AK9">
        <v>1</v>
      </c>
      <c r="AL9">
        <v>1</v>
      </c>
      <c r="AN9">
        <v>0</v>
      </c>
      <c r="AO9">
        <v>1</v>
      </c>
      <c r="AP9">
        <v>0</v>
      </c>
      <c r="AQ9">
        <v>0</v>
      </c>
      <c r="AR9">
        <v>0</v>
      </c>
      <c r="AS9" t="s">
        <v>3</v>
      </c>
      <c r="AT9">
        <v>0.01</v>
      </c>
      <c r="AU9" t="s">
        <v>3</v>
      </c>
      <c r="AV9">
        <v>0</v>
      </c>
      <c r="AW9">
        <v>2</v>
      </c>
      <c r="AX9">
        <v>44887879</v>
      </c>
      <c r="AY9">
        <v>1</v>
      </c>
      <c r="AZ9">
        <v>0</v>
      </c>
      <c r="BA9">
        <v>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X9">
        <f>Y9*Source!I27</f>
        <v>7.8000000000000005E-3</v>
      </c>
      <c r="CY9">
        <f>AA9</f>
        <v>88075.44</v>
      </c>
      <c r="CZ9">
        <f>AE9</f>
        <v>7191.81</v>
      </c>
      <c r="DA9">
        <f>AI9</f>
        <v>12.21</v>
      </c>
      <c r="DB9">
        <f t="shared" si="0"/>
        <v>71.92</v>
      </c>
      <c r="DC9">
        <f t="shared" si="1"/>
        <v>0</v>
      </c>
    </row>
    <row r="10" spans="1:107" x14ac:dyDescent="0.2">
      <c r="A10">
        <f>ROW(Source!A27)</f>
        <v>27</v>
      </c>
      <c r="B10">
        <v>44887815</v>
      </c>
      <c r="C10">
        <v>44887870</v>
      </c>
      <c r="D10">
        <v>30589691</v>
      </c>
      <c r="E10">
        <v>1</v>
      </c>
      <c r="F10">
        <v>1</v>
      </c>
      <c r="G10">
        <v>30515945</v>
      </c>
      <c r="H10">
        <v>3</v>
      </c>
      <c r="I10" t="s">
        <v>112</v>
      </c>
      <c r="J10" t="s">
        <v>113</v>
      </c>
      <c r="K10" t="s">
        <v>114</v>
      </c>
      <c r="L10">
        <v>1339</v>
      </c>
      <c r="N10">
        <v>1007</v>
      </c>
      <c r="O10" t="s">
        <v>115</v>
      </c>
      <c r="P10" t="s">
        <v>115</v>
      </c>
      <c r="Q10">
        <v>1</v>
      </c>
      <c r="W10">
        <v>0</v>
      </c>
      <c r="X10">
        <v>-718781615</v>
      </c>
      <c r="Y10">
        <v>1.28</v>
      </c>
      <c r="AA10">
        <v>3316.78</v>
      </c>
      <c r="AB10">
        <v>0</v>
      </c>
      <c r="AC10">
        <v>0</v>
      </c>
      <c r="AD10">
        <v>0</v>
      </c>
      <c r="AE10">
        <v>451.14</v>
      </c>
      <c r="AF10">
        <v>0</v>
      </c>
      <c r="AG10">
        <v>0</v>
      </c>
      <c r="AH10">
        <v>0</v>
      </c>
      <c r="AI10">
        <v>7.33</v>
      </c>
      <c r="AJ10">
        <v>1</v>
      </c>
      <c r="AK10">
        <v>1</v>
      </c>
      <c r="AL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 t="s">
        <v>3</v>
      </c>
      <c r="AT10">
        <v>1.28</v>
      </c>
      <c r="AU10" t="s">
        <v>3</v>
      </c>
      <c r="AV10">
        <v>0</v>
      </c>
      <c r="AW10">
        <v>2</v>
      </c>
      <c r="AX10">
        <v>44887880</v>
      </c>
      <c r="AY10">
        <v>1</v>
      </c>
      <c r="AZ10">
        <v>0</v>
      </c>
      <c r="BA10">
        <v>9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X10">
        <f>Y10*Source!I27</f>
        <v>0.99840000000000007</v>
      </c>
      <c r="CY10">
        <f>AA10</f>
        <v>3316.78</v>
      </c>
      <c r="CZ10">
        <f>AE10</f>
        <v>451.14</v>
      </c>
      <c r="DA10">
        <f>AI10</f>
        <v>7.33</v>
      </c>
      <c r="DB10">
        <f t="shared" si="0"/>
        <v>577.46</v>
      </c>
      <c r="DC10">
        <f t="shared" si="1"/>
        <v>0</v>
      </c>
    </row>
    <row r="11" spans="1:107" x14ac:dyDescent="0.2">
      <c r="A11">
        <f>ROW(Source!A27)</f>
        <v>27</v>
      </c>
      <c r="B11">
        <v>44887815</v>
      </c>
      <c r="C11">
        <v>44887870</v>
      </c>
      <c r="D11">
        <v>0</v>
      </c>
      <c r="E11">
        <v>30515945</v>
      </c>
      <c r="F11">
        <v>1</v>
      </c>
      <c r="G11">
        <v>30515945</v>
      </c>
      <c r="H11">
        <v>3</v>
      </c>
      <c r="I11" t="s">
        <v>22</v>
      </c>
      <c r="J11" t="s">
        <v>3</v>
      </c>
      <c r="K11" t="s">
        <v>37</v>
      </c>
      <c r="L11">
        <v>1354</v>
      </c>
      <c r="N11">
        <v>1010</v>
      </c>
      <c r="O11" t="s">
        <v>24</v>
      </c>
      <c r="P11" t="s">
        <v>24</v>
      </c>
      <c r="Q11">
        <v>1</v>
      </c>
      <c r="W11">
        <v>0</v>
      </c>
      <c r="X11">
        <v>-213020699</v>
      </c>
      <c r="Y11">
        <v>38.461537999999997</v>
      </c>
      <c r="AA11">
        <v>19307.75</v>
      </c>
      <c r="AB11">
        <v>0</v>
      </c>
      <c r="AC11">
        <v>0</v>
      </c>
      <c r="AD11">
        <v>0</v>
      </c>
      <c r="AE11">
        <v>3449.82</v>
      </c>
      <c r="AF11">
        <v>0</v>
      </c>
      <c r="AG11">
        <v>0</v>
      </c>
      <c r="AH11">
        <v>0</v>
      </c>
      <c r="AI11">
        <v>5.58</v>
      </c>
      <c r="AJ11">
        <v>1</v>
      </c>
      <c r="AK11">
        <v>1</v>
      </c>
      <c r="AL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3</v>
      </c>
      <c r="AT11">
        <v>38.461537999999997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X11">
        <f>Y11*Source!I27</f>
        <v>29.999999639999999</v>
      </c>
      <c r="CY11">
        <f>AA11</f>
        <v>19307.75</v>
      </c>
      <c r="CZ11">
        <f>AE11</f>
        <v>3449.82</v>
      </c>
      <c r="DA11">
        <f>AI11</f>
        <v>5.58</v>
      </c>
      <c r="DB11">
        <f t="shared" si="0"/>
        <v>132685.38</v>
      </c>
      <c r="DC11">
        <f t="shared" si="1"/>
        <v>0</v>
      </c>
    </row>
    <row r="12" spans="1:107" x14ac:dyDescent="0.2">
      <c r="A12">
        <f>ROW(Source!A27)</f>
        <v>27</v>
      </c>
      <c r="B12">
        <v>44887815</v>
      </c>
      <c r="C12">
        <v>44887870</v>
      </c>
      <c r="D12">
        <v>0</v>
      </c>
      <c r="E12">
        <v>30515945</v>
      </c>
      <c r="F12">
        <v>1</v>
      </c>
      <c r="G12">
        <v>30515945</v>
      </c>
      <c r="H12">
        <v>3</v>
      </c>
      <c r="I12" t="s">
        <v>22</v>
      </c>
      <c r="J12" t="s">
        <v>3</v>
      </c>
      <c r="K12" t="s">
        <v>40</v>
      </c>
      <c r="L12">
        <v>1354</v>
      </c>
      <c r="N12">
        <v>1010</v>
      </c>
      <c r="O12" t="s">
        <v>24</v>
      </c>
      <c r="P12" t="s">
        <v>24</v>
      </c>
      <c r="Q12">
        <v>1</v>
      </c>
      <c r="W12">
        <v>0</v>
      </c>
      <c r="X12">
        <v>1468371780</v>
      </c>
      <c r="Y12">
        <v>15.384615</v>
      </c>
      <c r="AA12">
        <v>11868.84</v>
      </c>
      <c r="AB12">
        <v>0</v>
      </c>
      <c r="AC12">
        <v>0</v>
      </c>
      <c r="AD12">
        <v>0</v>
      </c>
      <c r="AE12">
        <v>2120.67</v>
      </c>
      <c r="AF12">
        <v>0</v>
      </c>
      <c r="AG12">
        <v>0</v>
      </c>
      <c r="AH12">
        <v>0</v>
      </c>
      <c r="AI12">
        <v>5.58</v>
      </c>
      <c r="AJ12">
        <v>1</v>
      </c>
      <c r="AK12">
        <v>1</v>
      </c>
      <c r="AL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3</v>
      </c>
      <c r="AT12">
        <v>15.384615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X12">
        <f>Y12*Source!I27</f>
        <v>11.9999997</v>
      </c>
      <c r="CY12">
        <f>AA12</f>
        <v>11868.84</v>
      </c>
      <c r="CZ12">
        <f>AE12</f>
        <v>2120.67</v>
      </c>
      <c r="DA12">
        <f>AI12</f>
        <v>5.58</v>
      </c>
      <c r="DB12">
        <f t="shared" si="0"/>
        <v>32625.69</v>
      </c>
      <c r="DC12">
        <f t="shared" si="1"/>
        <v>0</v>
      </c>
    </row>
    <row r="13" spans="1:107" x14ac:dyDescent="0.2">
      <c r="A13">
        <f>ROW(Source!A27)</f>
        <v>27</v>
      </c>
      <c r="B13">
        <v>44887815</v>
      </c>
      <c r="C13">
        <v>44887870</v>
      </c>
      <c r="D13">
        <v>0</v>
      </c>
      <c r="E13">
        <v>30515945</v>
      </c>
      <c r="F13">
        <v>1</v>
      </c>
      <c r="G13">
        <v>30515945</v>
      </c>
      <c r="H13">
        <v>3</v>
      </c>
      <c r="I13" t="s">
        <v>22</v>
      </c>
      <c r="J13" t="s">
        <v>3</v>
      </c>
      <c r="K13" t="s">
        <v>34</v>
      </c>
      <c r="L13">
        <v>1354</v>
      </c>
      <c r="N13">
        <v>1010</v>
      </c>
      <c r="O13" t="s">
        <v>24</v>
      </c>
      <c r="P13" t="s">
        <v>24</v>
      </c>
      <c r="Q13">
        <v>1</v>
      </c>
      <c r="W13">
        <v>0</v>
      </c>
      <c r="X13">
        <v>1029990948</v>
      </c>
      <c r="Y13">
        <v>46.153846000000001</v>
      </c>
      <c r="AA13">
        <v>19591.95</v>
      </c>
      <c r="AB13">
        <v>0</v>
      </c>
      <c r="AC13">
        <v>0</v>
      </c>
      <c r="AD13">
        <v>0</v>
      </c>
      <c r="AE13">
        <v>3500.6</v>
      </c>
      <c r="AF13">
        <v>0</v>
      </c>
      <c r="AG13">
        <v>0</v>
      </c>
      <c r="AH13">
        <v>0</v>
      </c>
      <c r="AI13">
        <v>5.58</v>
      </c>
      <c r="AJ13">
        <v>1</v>
      </c>
      <c r="AK13">
        <v>1</v>
      </c>
      <c r="AL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3</v>
      </c>
      <c r="AT13">
        <v>46.153846000000001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X13">
        <f>Y13*Source!I27</f>
        <v>35.999999880000004</v>
      </c>
      <c r="CY13">
        <f>AA13</f>
        <v>19591.95</v>
      </c>
      <c r="CZ13">
        <f>AE13</f>
        <v>3500.6</v>
      </c>
      <c r="DA13">
        <f>AI13</f>
        <v>5.58</v>
      </c>
      <c r="DB13">
        <f t="shared" si="0"/>
        <v>161566.15</v>
      </c>
      <c r="DC13">
        <f t="shared" si="1"/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ROW(Source!A24)</f>
        <v>24</v>
      </c>
      <c r="B1">
        <v>44887827</v>
      </c>
      <c r="C1">
        <v>44887820</v>
      </c>
      <c r="D1">
        <v>30515951</v>
      </c>
      <c r="E1">
        <v>30515945</v>
      </c>
      <c r="F1">
        <v>1</v>
      </c>
      <c r="G1">
        <v>30515945</v>
      </c>
      <c r="H1">
        <v>1</v>
      </c>
      <c r="I1" t="s">
        <v>101</v>
      </c>
      <c r="J1" t="s">
        <v>3</v>
      </c>
      <c r="K1" t="s">
        <v>102</v>
      </c>
      <c r="L1">
        <v>1191</v>
      </c>
      <c r="N1">
        <v>1013</v>
      </c>
      <c r="O1" t="s">
        <v>103</v>
      </c>
      <c r="P1" t="s">
        <v>103</v>
      </c>
      <c r="Q1">
        <v>1</v>
      </c>
      <c r="X1">
        <v>66.900000000000006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</v>
      </c>
      <c r="AG1">
        <v>66.900000000000006</v>
      </c>
      <c r="AH1">
        <v>2</v>
      </c>
      <c r="AI1">
        <v>44887827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ROW(Source!A24)</f>
        <v>24</v>
      </c>
      <c r="B2">
        <v>44887828</v>
      </c>
      <c r="C2">
        <v>44887820</v>
      </c>
      <c r="D2">
        <v>30595787</v>
      </c>
      <c r="E2">
        <v>1</v>
      </c>
      <c r="F2">
        <v>1</v>
      </c>
      <c r="G2">
        <v>30515945</v>
      </c>
      <c r="H2">
        <v>2</v>
      </c>
      <c r="I2" t="s">
        <v>104</v>
      </c>
      <c r="J2" t="s">
        <v>105</v>
      </c>
      <c r="K2" t="s">
        <v>106</v>
      </c>
      <c r="L2">
        <v>1367</v>
      </c>
      <c r="N2">
        <v>1011</v>
      </c>
      <c r="O2" t="s">
        <v>107</v>
      </c>
      <c r="P2" t="s">
        <v>107</v>
      </c>
      <c r="Q2">
        <v>1</v>
      </c>
      <c r="X2">
        <v>24</v>
      </c>
      <c r="Y2">
        <v>0</v>
      </c>
      <c r="Z2">
        <v>4.8600000000000003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24</v>
      </c>
      <c r="AH2">
        <v>2</v>
      </c>
      <c r="AI2">
        <v>44887828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ROW(Source!A24)</f>
        <v>24</v>
      </c>
      <c r="B3">
        <v>44887829</v>
      </c>
      <c r="C3">
        <v>44887820</v>
      </c>
      <c r="D3">
        <v>30572493</v>
      </c>
      <c r="E3">
        <v>1</v>
      </c>
      <c r="F3">
        <v>1</v>
      </c>
      <c r="G3">
        <v>30515945</v>
      </c>
      <c r="H3">
        <v>3</v>
      </c>
      <c r="I3" t="s">
        <v>108</v>
      </c>
      <c r="J3" t="s">
        <v>109</v>
      </c>
      <c r="K3" t="s">
        <v>110</v>
      </c>
      <c r="L3">
        <v>1348</v>
      </c>
      <c r="N3">
        <v>1009</v>
      </c>
      <c r="O3" t="s">
        <v>111</v>
      </c>
      <c r="P3" t="s">
        <v>111</v>
      </c>
      <c r="Q3">
        <v>1000</v>
      </c>
      <c r="X3">
        <v>2.7E-2</v>
      </c>
      <c r="Y3">
        <v>7191.81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</v>
      </c>
      <c r="AG3">
        <v>2.7E-2</v>
      </c>
      <c r="AH3">
        <v>2</v>
      </c>
      <c r="AI3">
        <v>44887829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ROW(Source!A24)</f>
        <v>24</v>
      </c>
      <c r="B4">
        <v>44887830</v>
      </c>
      <c r="C4">
        <v>44887820</v>
      </c>
      <c r="D4">
        <v>30589691</v>
      </c>
      <c r="E4">
        <v>1</v>
      </c>
      <c r="F4">
        <v>1</v>
      </c>
      <c r="G4">
        <v>30515945</v>
      </c>
      <c r="H4">
        <v>3</v>
      </c>
      <c r="I4" t="s">
        <v>112</v>
      </c>
      <c r="J4" t="s">
        <v>113</v>
      </c>
      <c r="K4" t="s">
        <v>114</v>
      </c>
      <c r="L4">
        <v>1339</v>
      </c>
      <c r="N4">
        <v>1007</v>
      </c>
      <c r="O4" t="s">
        <v>115</v>
      </c>
      <c r="P4" t="s">
        <v>115</v>
      </c>
      <c r="Q4">
        <v>1</v>
      </c>
      <c r="X4">
        <v>1.94</v>
      </c>
      <c r="Y4">
        <v>451.14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1.94</v>
      </c>
      <c r="AH4">
        <v>2</v>
      </c>
      <c r="AI4">
        <v>44887830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ROW(Source!A24)</f>
        <v>24</v>
      </c>
      <c r="B5">
        <v>44887831</v>
      </c>
      <c r="C5">
        <v>44887820</v>
      </c>
      <c r="D5">
        <v>30531715</v>
      </c>
      <c r="E5">
        <v>30515945</v>
      </c>
      <c r="F5">
        <v>1</v>
      </c>
      <c r="G5">
        <v>30515945</v>
      </c>
      <c r="H5">
        <v>3</v>
      </c>
      <c r="I5" t="s">
        <v>116</v>
      </c>
      <c r="J5" t="s">
        <v>3</v>
      </c>
      <c r="K5" t="s">
        <v>117</v>
      </c>
      <c r="L5">
        <v>1354</v>
      </c>
      <c r="N5">
        <v>1010</v>
      </c>
      <c r="O5" t="s">
        <v>24</v>
      </c>
      <c r="P5" t="s">
        <v>24</v>
      </c>
      <c r="Q5">
        <v>1</v>
      </c>
      <c r="X5">
        <v>100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</v>
      </c>
      <c r="AG5">
        <v>100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ROW(Source!A27)</f>
        <v>27</v>
      </c>
      <c r="B6">
        <v>44887877</v>
      </c>
      <c r="C6">
        <v>44887870</v>
      </c>
      <c r="D6">
        <v>30515951</v>
      </c>
      <c r="E6">
        <v>30515945</v>
      </c>
      <c r="F6">
        <v>1</v>
      </c>
      <c r="G6">
        <v>30515945</v>
      </c>
      <c r="H6">
        <v>1</v>
      </c>
      <c r="I6" t="s">
        <v>101</v>
      </c>
      <c r="J6" t="s">
        <v>3</v>
      </c>
      <c r="K6" t="s">
        <v>102</v>
      </c>
      <c r="L6">
        <v>1191</v>
      </c>
      <c r="N6">
        <v>1013</v>
      </c>
      <c r="O6" t="s">
        <v>103</v>
      </c>
      <c r="P6" t="s">
        <v>103</v>
      </c>
      <c r="Q6">
        <v>1</v>
      </c>
      <c r="X6">
        <v>38.9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3</v>
      </c>
      <c r="AG6">
        <v>38.9</v>
      </c>
      <c r="AH6">
        <v>2</v>
      </c>
      <c r="AI6">
        <v>44887877</v>
      </c>
      <c r="AJ6">
        <v>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ROW(Source!A27)</f>
        <v>27</v>
      </c>
      <c r="B7">
        <v>44887878</v>
      </c>
      <c r="C7">
        <v>44887870</v>
      </c>
      <c r="D7">
        <v>30595787</v>
      </c>
      <c r="E7">
        <v>1</v>
      </c>
      <c r="F7">
        <v>1</v>
      </c>
      <c r="G7">
        <v>30515945</v>
      </c>
      <c r="H7">
        <v>2</v>
      </c>
      <c r="I7" t="s">
        <v>104</v>
      </c>
      <c r="J7" t="s">
        <v>105</v>
      </c>
      <c r="K7" t="s">
        <v>106</v>
      </c>
      <c r="L7">
        <v>1367</v>
      </c>
      <c r="N7">
        <v>1011</v>
      </c>
      <c r="O7" t="s">
        <v>107</v>
      </c>
      <c r="P7" t="s">
        <v>107</v>
      </c>
      <c r="Q7">
        <v>1</v>
      </c>
      <c r="X7">
        <v>11.9</v>
      </c>
      <c r="Y7">
        <v>0</v>
      </c>
      <c r="Z7">
        <v>4.8600000000000003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11.9</v>
      </c>
      <c r="AH7">
        <v>2</v>
      </c>
      <c r="AI7">
        <v>44887878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ROW(Source!A27)</f>
        <v>27</v>
      </c>
      <c r="B8">
        <v>44887879</v>
      </c>
      <c r="C8">
        <v>44887870</v>
      </c>
      <c r="D8">
        <v>30572493</v>
      </c>
      <c r="E8">
        <v>1</v>
      </c>
      <c r="F8">
        <v>1</v>
      </c>
      <c r="G8">
        <v>30515945</v>
      </c>
      <c r="H8">
        <v>3</v>
      </c>
      <c r="I8" t="s">
        <v>108</v>
      </c>
      <c r="J8" t="s">
        <v>109</v>
      </c>
      <c r="K8" t="s">
        <v>110</v>
      </c>
      <c r="L8">
        <v>1348</v>
      </c>
      <c r="N8">
        <v>1009</v>
      </c>
      <c r="O8" t="s">
        <v>111</v>
      </c>
      <c r="P8" t="s">
        <v>111</v>
      </c>
      <c r="Q8">
        <v>1000</v>
      </c>
      <c r="X8">
        <v>0.01</v>
      </c>
      <c r="Y8">
        <v>7191.81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0.01</v>
      </c>
      <c r="AH8">
        <v>2</v>
      </c>
      <c r="AI8">
        <v>44887879</v>
      </c>
      <c r="AJ8">
        <v>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ROW(Source!A27)</f>
        <v>27</v>
      </c>
      <c r="B9">
        <v>44887880</v>
      </c>
      <c r="C9">
        <v>44887870</v>
      </c>
      <c r="D9">
        <v>30589691</v>
      </c>
      <c r="E9">
        <v>1</v>
      </c>
      <c r="F9">
        <v>1</v>
      </c>
      <c r="G9">
        <v>30515945</v>
      </c>
      <c r="H9">
        <v>3</v>
      </c>
      <c r="I9" t="s">
        <v>112</v>
      </c>
      <c r="J9" t="s">
        <v>113</v>
      </c>
      <c r="K9" t="s">
        <v>114</v>
      </c>
      <c r="L9">
        <v>1339</v>
      </c>
      <c r="N9">
        <v>1007</v>
      </c>
      <c r="O9" t="s">
        <v>115</v>
      </c>
      <c r="P9" t="s">
        <v>115</v>
      </c>
      <c r="Q9">
        <v>1</v>
      </c>
      <c r="X9">
        <v>1.28</v>
      </c>
      <c r="Y9">
        <v>451.14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1.28</v>
      </c>
      <c r="AH9">
        <v>2</v>
      </c>
      <c r="AI9">
        <v>44887880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ROW(Source!A27)</f>
        <v>27</v>
      </c>
      <c r="B10">
        <v>44887881</v>
      </c>
      <c r="C10">
        <v>44887870</v>
      </c>
      <c r="D10">
        <v>30531715</v>
      </c>
      <c r="E10">
        <v>30515945</v>
      </c>
      <c r="F10">
        <v>1</v>
      </c>
      <c r="G10">
        <v>30515945</v>
      </c>
      <c r="H10">
        <v>3</v>
      </c>
      <c r="I10" t="s">
        <v>116</v>
      </c>
      <c r="J10" t="s">
        <v>3</v>
      </c>
      <c r="K10" t="s">
        <v>117</v>
      </c>
      <c r="L10">
        <v>1354</v>
      </c>
      <c r="N10">
        <v>1010</v>
      </c>
      <c r="O10" t="s">
        <v>24</v>
      </c>
      <c r="P10" t="s">
        <v>24</v>
      </c>
      <c r="Q10">
        <v>1</v>
      </c>
      <c r="X10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</v>
      </c>
      <c r="AG10">
        <v>100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Смета по ТСН-2001</vt:lpstr>
      <vt:lpstr>Source</vt:lpstr>
      <vt:lpstr>SourceObSm</vt:lpstr>
      <vt:lpstr>SmtRes</vt:lpstr>
      <vt:lpstr>EtalonRes</vt:lpstr>
      <vt:lpstr>'Смета по ТСН-2001'!Заголовки_для_печати</vt:lpstr>
      <vt:lpstr>'Смета по ТСН-2001'!Область_печати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Иванов Владимир Александрович</cp:lastModifiedBy>
  <dcterms:created xsi:type="dcterms:W3CDTF">2020-12-28T16:02:15Z</dcterms:created>
  <dcterms:modified xsi:type="dcterms:W3CDTF">2020-12-28T16:15:22Z</dcterms:modified>
</cp:coreProperties>
</file>